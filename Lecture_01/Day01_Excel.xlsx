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8_{44EEC5D1-DB39-4EBB-B117-B3EA73D8A6B5}" xr6:coauthVersionLast="47" xr6:coauthVersionMax="47" xr10:uidLastSave="{00000000-0000-0000-0000-000000000000}"/>
  <bookViews>
    <workbookView xWindow="34452" yWindow="-108" windowWidth="23256" windowHeight="13176" activeTab="1" xr2:uid="{5A40A133-7FCB-4E40-9551-3ACA7112C298}"/>
  </bookViews>
  <sheets>
    <sheet name="Aggregate Functions in Excel" sheetId="1" r:id="rId1"/>
    <sheet name="Conditional Aggregate Func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3" l="1"/>
  <c r="H36" i="3"/>
  <c r="F31" i="3"/>
  <c r="F26" i="3"/>
  <c r="F21" i="3"/>
  <c r="H48" i="1"/>
  <c r="H43" i="1"/>
  <c r="H35" i="1"/>
  <c r="H34" i="1"/>
  <c r="F29" i="1"/>
  <c r="F23" i="1"/>
  <c r="E17" i="1"/>
  <c r="G10" i="1"/>
</calcChain>
</file>

<file path=xl/sharedStrings.xml><?xml version="1.0" encoding="utf-8"?>
<sst xmlns="http://schemas.openxmlformats.org/spreadsheetml/2006/main" count="308" uniqueCount="181">
  <si>
    <t>INTRODUCTION TO AGGREGATE FUNCTIONS IN EXCEL</t>
  </si>
  <si>
    <t xml:space="preserve">Aggregate functions perform calculations on a range of values and return a single result — such as total, average, count, minimum, or maximum. </t>
  </si>
  <si>
    <t>They help summarize large datasets quickly and are essential for data analytics.</t>
  </si>
  <si>
    <t>Order ID</t>
  </si>
  <si>
    <t>Customer Name</t>
  </si>
  <si>
    <t>City</t>
  </si>
  <si>
    <t>Product</t>
  </si>
  <si>
    <t>Quantity</t>
  </si>
  <si>
    <t>Price</t>
  </si>
  <si>
    <t>Salesperson</t>
  </si>
  <si>
    <t>ORD-100001</t>
  </si>
  <si>
    <t>Nisha Gupta</t>
  </si>
  <si>
    <t>Delhi</t>
  </si>
  <si>
    <t>Office Chair</t>
  </si>
  <si>
    <t>Rahul Singh</t>
  </si>
  <si>
    <t>ORD-100002</t>
  </si>
  <si>
    <t>Deepak Gupta</t>
  </si>
  <si>
    <t>Indore</t>
  </si>
  <si>
    <t>Karan Patel</t>
  </si>
  <si>
    <t>ORD-100003</t>
  </si>
  <si>
    <t>Vivaan Sharma</t>
  </si>
  <si>
    <t>Mumbai</t>
  </si>
  <si>
    <t>Mouse</t>
  </si>
  <si>
    <t>Amit Sharma</t>
  </si>
  <si>
    <t>ORD-100004</t>
  </si>
  <si>
    <t>Rohit Jain</t>
  </si>
  <si>
    <t>Bhopal</t>
  </si>
  <si>
    <t>External HDD</t>
  </si>
  <si>
    <t>Anjali Mishra</t>
  </si>
  <si>
    <t>ORD-100005</t>
  </si>
  <si>
    <t>Shivam Kumar</t>
  </si>
  <si>
    <t>Surat</t>
  </si>
  <si>
    <t>Router</t>
  </si>
  <si>
    <t>ORD-100006</t>
  </si>
  <si>
    <t>Ritika Saxena</t>
  </si>
  <si>
    <t>Kolkata</t>
  </si>
  <si>
    <t>Printer</t>
  </si>
  <si>
    <t>Sneha Jain</t>
  </si>
  <si>
    <t>ORD-100007</t>
  </si>
  <si>
    <t>Vihaan Singh</t>
  </si>
  <si>
    <t>Pune</t>
  </si>
  <si>
    <t>Monitor</t>
  </si>
  <si>
    <t>Pooja Saxena</t>
  </si>
  <si>
    <t>ORD-100008</t>
  </si>
  <si>
    <t>Rahul Verma</t>
  </si>
  <si>
    <t>Headphones</t>
  </si>
  <si>
    <t>ORD-100009</t>
  </si>
  <si>
    <t>Aditya Sinha</t>
  </si>
  <si>
    <t>Chennai</t>
  </si>
  <si>
    <t>Shivam Jain</t>
  </si>
  <si>
    <t>Rohit Yadav</t>
  </si>
  <si>
    <t>ORD-100011</t>
  </si>
  <si>
    <t>Aditya Agarwal</t>
  </si>
  <si>
    <t>Nagpur</t>
  </si>
  <si>
    <t>ORD-100012</t>
  </si>
  <si>
    <t>Sai Pandey</t>
  </si>
  <si>
    <t>Neha Verma</t>
  </si>
  <si>
    <t>ORD-100013</t>
  </si>
  <si>
    <t>Akash Patel</t>
  </si>
  <si>
    <t>Jaipur</t>
  </si>
  <si>
    <t>ORD-100014</t>
  </si>
  <si>
    <t>Rahul Sinha</t>
  </si>
  <si>
    <t>Hyderabad</t>
  </si>
  <si>
    <t>ORD-100015</t>
  </si>
  <si>
    <t>Tablet</t>
  </si>
  <si>
    <t>ORD-100016</t>
  </si>
  <si>
    <t>Kavya Rao</t>
  </si>
  <si>
    <t>Patna</t>
  </si>
  <si>
    <t>ORD-100017</t>
  </si>
  <si>
    <t>Neha Malhotra</t>
  </si>
  <si>
    <t>Bengaluru</t>
  </si>
  <si>
    <t>Vikas Kumar</t>
  </si>
  <si>
    <t>ORD-100018</t>
  </si>
  <si>
    <t>Rohit Kumar</t>
  </si>
  <si>
    <t>SSD 1TB</t>
  </si>
  <si>
    <t>ORD-100019</t>
  </si>
  <si>
    <t>Ananya Agarwal</t>
  </si>
  <si>
    <t>Webcam</t>
  </si>
  <si>
    <t>Adds all numeric values in a range.</t>
  </si>
  <si>
    <t>Used to find the total of quantities, prices, or sales values.</t>
  </si>
  <si>
    <r>
      <t xml:space="preserve">To Find the Total Price we use </t>
    </r>
    <r>
      <rPr>
        <b/>
        <sz val="11"/>
        <color theme="1"/>
        <rFont val="Aptos Narrow"/>
        <family val="2"/>
        <scheme val="minor"/>
      </rPr>
      <t>=SUM(M13:M31)</t>
    </r>
  </si>
  <si>
    <r>
      <t xml:space="preserve">🔹 1. </t>
    </r>
    <r>
      <rPr>
        <b/>
        <u/>
        <sz val="14"/>
        <color theme="1"/>
        <rFont val="Aptos Narrow"/>
        <family val="2"/>
        <scheme val="minor"/>
      </rPr>
      <t>SUM Function</t>
    </r>
  </si>
  <si>
    <r>
      <t>🔹 2.</t>
    </r>
    <r>
      <rPr>
        <b/>
        <u/>
        <sz val="13.5"/>
        <color theme="1"/>
        <rFont val="Aptos Narrow"/>
        <family val="2"/>
        <scheme val="minor"/>
      </rPr>
      <t xml:space="preserve"> AVERAGE Function</t>
    </r>
  </si>
  <si>
    <t>Calculates the mean (average) of numeric values in a range.</t>
  </si>
  <si>
    <t>Used to find the average price of products or average</t>
  </si>
  <si>
    <t xml:space="preserve"> quantity sold.</t>
  </si>
  <si>
    <r>
      <t xml:space="preserve">To find Average Price  we use </t>
    </r>
    <r>
      <rPr>
        <b/>
        <sz val="11"/>
        <color theme="1"/>
        <rFont val="Aptos Narrow"/>
        <family val="2"/>
        <scheme val="minor"/>
      </rPr>
      <t>=AVERAGE(M13:M31)</t>
    </r>
  </si>
  <si>
    <r>
      <t xml:space="preserve">🔹 3. </t>
    </r>
    <r>
      <rPr>
        <b/>
        <u/>
        <sz val="13.5"/>
        <color theme="1"/>
        <rFont val="Aptos Narrow"/>
        <family val="2"/>
        <scheme val="minor"/>
      </rPr>
      <t>COUNT Function</t>
    </r>
  </si>
  <si>
    <t>Counts the number of cells containing numeric values.</t>
  </si>
  <si>
    <t xml:space="preserve">Used to count how many orders have numeric entries in </t>
  </si>
  <si>
    <t>a column (e.g., Quantity).</t>
  </si>
  <si>
    <r>
      <t xml:space="preserve">We use </t>
    </r>
    <r>
      <rPr>
        <b/>
        <sz val="10"/>
        <color theme="1"/>
        <rFont val="Arial Unicode MS"/>
      </rPr>
      <t>=COUNT(L13:L31)</t>
    </r>
  </si>
  <si>
    <r>
      <t xml:space="preserve">🔹 4. </t>
    </r>
    <r>
      <rPr>
        <b/>
        <u/>
        <sz val="13.5"/>
        <color theme="1"/>
        <rFont val="Aptos Narrow"/>
        <family val="2"/>
        <scheme val="minor"/>
      </rPr>
      <t>COUNTA Function</t>
    </r>
  </si>
  <si>
    <t>Counts all non‑empty cells (numbers or text).</t>
  </si>
  <si>
    <t>Used to count total filled records, including text entries</t>
  </si>
  <si>
    <t xml:space="preserve"> like Customer Name.</t>
  </si>
  <si>
    <r>
      <rPr>
        <sz val="11"/>
        <color theme="1"/>
        <rFont val="Aptos Narrow"/>
        <family val="2"/>
        <scheme val="minor"/>
      </rPr>
      <t xml:space="preserve">We use </t>
    </r>
    <r>
      <rPr>
        <b/>
        <sz val="11"/>
        <color theme="1"/>
        <rFont val="Aptos Narrow"/>
        <family val="2"/>
        <scheme val="minor"/>
      </rPr>
      <t>=COUNTA(I13:I31)</t>
    </r>
  </si>
  <si>
    <r>
      <t xml:space="preserve">🔹 5. </t>
    </r>
    <r>
      <rPr>
        <b/>
        <u/>
        <sz val="13.5"/>
        <color theme="1"/>
        <rFont val="Aptos Narrow"/>
        <family val="2"/>
        <scheme val="minor"/>
      </rPr>
      <t>COUNTBLANK Function</t>
    </r>
  </si>
  <si>
    <t>Counts the number of empty (blank) cells in a given range.</t>
  </si>
  <si>
    <r>
      <t xml:space="preserve">Used to find how many records are missing information — for example, blank </t>
    </r>
    <r>
      <rPr>
        <i/>
        <sz val="11"/>
        <color theme="1"/>
        <rFont val="Aptos Narrow"/>
        <family val="2"/>
        <scheme val="minor"/>
      </rPr>
      <t>Customer Name</t>
    </r>
    <r>
      <rPr>
        <sz val="11"/>
        <color theme="1"/>
        <rFont val="Aptos Narrow"/>
        <family val="2"/>
        <scheme val="minor"/>
      </rPr>
      <t xml:space="preserve"> or </t>
    </r>
    <r>
      <rPr>
        <i/>
        <sz val="11"/>
        <color theme="1"/>
        <rFont val="Aptos Narrow"/>
        <family val="2"/>
        <scheme val="minor"/>
      </rPr>
      <t>Quantity</t>
    </r>
    <r>
      <rPr>
        <sz val="11"/>
        <color theme="1"/>
        <rFont val="Aptos Narrow"/>
        <family val="2"/>
        <scheme val="minor"/>
      </rPr>
      <t xml:space="preserve"> entries.</t>
    </r>
  </si>
  <si>
    <r>
      <t xml:space="preserve">To check missing quantity entries </t>
    </r>
    <r>
      <rPr>
        <b/>
        <sz val="11"/>
        <color theme="1"/>
        <rFont val="Aptos Narrow"/>
        <family val="2"/>
        <scheme val="minor"/>
      </rPr>
      <t>=COUNTBLANK(L13:L31)</t>
    </r>
  </si>
  <si>
    <r>
      <t xml:space="preserve">To check missing Customers </t>
    </r>
    <r>
      <rPr>
        <b/>
        <sz val="11"/>
        <color theme="1"/>
        <rFont val="Aptos Narrow"/>
        <family val="2"/>
        <scheme val="minor"/>
      </rPr>
      <t>=COUNTBLANK(I13:I31)</t>
    </r>
  </si>
  <si>
    <t>1. COUNTA counts filled cells.</t>
  </si>
  <si>
    <t>2. COUNTBLANK counts empty cells. Together, they help you verify data completeness.</t>
  </si>
  <si>
    <r>
      <t xml:space="preserve">🔹 5. </t>
    </r>
    <r>
      <rPr>
        <b/>
        <u/>
        <sz val="13.5"/>
        <color theme="1"/>
        <rFont val="Aptos Narrow"/>
        <family val="2"/>
        <scheme val="minor"/>
      </rPr>
      <t>MIN Function</t>
    </r>
  </si>
  <si>
    <t>Returns the smallest numeric value in a range.</t>
  </si>
  <si>
    <t>Used to find the lowest price or smallest quantity sold.</t>
  </si>
  <si>
    <r>
      <t xml:space="preserve">To get the Minimum Product price </t>
    </r>
    <r>
      <rPr>
        <b/>
        <sz val="11"/>
        <color theme="1"/>
        <rFont val="Aptos Narrow"/>
        <family val="2"/>
        <scheme val="minor"/>
      </rPr>
      <t>=MIN(M13:M31)</t>
    </r>
  </si>
  <si>
    <r>
      <t xml:space="preserve">🔹 6. </t>
    </r>
    <r>
      <rPr>
        <b/>
        <u/>
        <sz val="13.5"/>
        <color theme="1"/>
        <rFont val="Aptos Narrow"/>
        <family val="2"/>
        <scheme val="minor"/>
      </rPr>
      <t>MAX Function</t>
    </r>
  </si>
  <si>
    <t>Returns the largest numeric value in a range.</t>
  </si>
  <si>
    <t>Used to find the highest price or largest quantity sold.</t>
  </si>
  <si>
    <r>
      <t xml:space="preserve">To get the Maximum Product price </t>
    </r>
    <r>
      <rPr>
        <b/>
        <sz val="11"/>
        <color theme="1"/>
        <rFont val="Aptos Narrow"/>
        <family val="2"/>
        <scheme val="minor"/>
      </rPr>
      <t>=MAX(M13:M31)</t>
    </r>
  </si>
  <si>
    <t>Function</t>
  </si>
  <si>
    <t>Formula</t>
  </si>
  <si>
    <t>Result Description</t>
  </si>
  <si>
    <t>SUM</t>
  </si>
  <si>
    <t>Total of all prices</t>
  </si>
  <si>
    <t>AVERAGE</t>
  </si>
  <si>
    <t>Average product price</t>
  </si>
  <si>
    <t>COUNT</t>
  </si>
  <si>
    <t>Number of numeric quantity entries</t>
  </si>
  <si>
    <t>COUNTA</t>
  </si>
  <si>
    <t>Number of customer names</t>
  </si>
  <si>
    <t>MIN</t>
  </si>
  <si>
    <t>Lowest price</t>
  </si>
  <si>
    <t>MAX</t>
  </si>
  <si>
    <t>Highest price</t>
  </si>
  <si>
    <t>[ =SUM(M13:M31) ]</t>
  </si>
  <si>
    <t>[ =AVERAGE(M13:M31) ]</t>
  </si>
  <si>
    <t>[ =COUNT(L13:L31) ]</t>
  </si>
  <si>
    <t>[ =COUNTA(I13:I31) ]</t>
  </si>
  <si>
    <t>[ =MIN(M13:M31) ]</t>
  </si>
  <si>
    <t xml:space="preserve"> [=MAX(M13:M31) ]</t>
  </si>
  <si>
    <t>SUMIF</t>
  </si>
  <si>
    <t>AVERAGEIF</t>
  </si>
  <si>
    <t>🎯 INTRODUCTION TO CONDITIONAL AGGREGATE FUNCTIONS</t>
  </si>
  <si>
    <t>The column Excel checks to find the condition.</t>
  </si>
  <si>
    <t>Excel looks through this range to see which rows match the criteria.</t>
  </si>
  <si>
    <t>The condition Excel uses to decide which rows to include.</t>
  </si>
  <si>
    <t>The column Excel performs the calculation on (adds, averages, or finds max).</t>
  </si>
  <si>
    <t>Excel applies the function only to values in this range that meet the criteria.</t>
  </si>
  <si>
    <t>1. Range</t>
  </si>
  <si>
    <t>2. Criteria</t>
  </si>
  <si>
    <t>3. Sum /Average/Max Range</t>
  </si>
  <si>
    <t>It tells Excel what to look for — e.g., only rows where Salesperson = Rahul Singh.</t>
  </si>
  <si>
    <t>What Excel Calculates</t>
  </si>
  <si>
    <t>Which Range to Choose</t>
  </si>
  <si>
    <t>Adds matching values</t>
  </si>
  <si>
    <r>
      <t xml:space="preserve">Numeric column (e.g., </t>
    </r>
    <r>
      <rPr>
        <b/>
        <sz val="11"/>
        <color theme="1"/>
        <rFont val="Aptos Narrow"/>
        <family val="2"/>
        <scheme val="minor"/>
      </rPr>
      <t>Price → M12:M30</t>
    </r>
    <r>
      <rPr>
        <sz val="11"/>
        <color theme="1"/>
        <rFont val="Aptos Narrow"/>
        <family val="2"/>
        <scheme val="minor"/>
      </rPr>
      <t>)</t>
    </r>
  </si>
  <si>
    <t>Finds mean of matching values</t>
  </si>
  <si>
    <t>MAXIFS</t>
  </si>
  <si>
    <t>Finds highest matching value</t>
  </si>
  <si>
    <t>MINIFS</t>
  </si>
  <si>
    <t>Finds lowest matching value</t>
  </si>
  <si>
    <r>
      <t xml:space="preserve">💡 </t>
    </r>
    <r>
      <rPr>
        <b/>
        <sz val="14"/>
        <color theme="1"/>
        <rFont val="Aptos Narrow"/>
        <family val="2"/>
        <scheme val="minor"/>
      </rPr>
      <t>Rule of Thumb for Choosing Ranges</t>
    </r>
  </si>
  <si>
    <t>Find total price of orders handled by Rahul Singh</t>
  </si>
  <si>
    <t>Count how many orders were handled by Karan Patel</t>
  </si>
  <si>
    <t>Find minimum price of Monitor sold by Sneha Jain</t>
  </si>
  <si>
    <t>Find maximum price of Monitor sold by Sneha Jain</t>
  </si>
  <si>
    <r>
      <t xml:space="preserve">Conditional aggregate functions perform calculations </t>
    </r>
    <r>
      <rPr>
        <b/>
        <sz val="11"/>
        <color theme="1"/>
        <rFont val="Aptos Narrow"/>
        <family val="2"/>
        <scheme val="minor"/>
      </rPr>
      <t>only on rows</t>
    </r>
  </si>
  <si>
    <t xml:space="preserve">They help analysts focus on subsets of data — for example, total sales by a </t>
  </si>
  <si>
    <t>particular city or highest price for a specific product.</t>
  </si>
  <si>
    <t>that meet a specific condition.</t>
  </si>
  <si>
    <t>[ =SUMIF(O12:O30,"Rahul Singh",M12:M30) ]</t>
  </si>
  <si>
    <t>👉 Adds all prices where Salesperson = Rahul Singh.</t>
  </si>
  <si>
    <r>
      <t xml:space="preserve">🔹 1. </t>
    </r>
    <r>
      <rPr>
        <b/>
        <u/>
        <sz val="14"/>
        <color theme="1"/>
        <rFont val="Aptos Narrow"/>
        <family val="2"/>
        <scheme val="minor"/>
      </rPr>
      <t>SUMIF</t>
    </r>
  </si>
  <si>
    <t>[ =COUNTIF(O12:O30,"Karan Patel") ]</t>
  </si>
  <si>
    <t>👉 Counts all rows where Salesperson = Karan Patel.</t>
  </si>
  <si>
    <r>
      <t>🔹 2.</t>
    </r>
    <r>
      <rPr>
        <b/>
        <u/>
        <sz val="14"/>
        <color theme="1"/>
        <rFont val="Aptos Narrow"/>
        <family val="2"/>
        <scheme val="minor"/>
      </rPr>
      <t xml:space="preserve"> COUNTIF</t>
    </r>
  </si>
  <si>
    <r>
      <t xml:space="preserve">🔹 3. </t>
    </r>
    <r>
      <rPr>
        <b/>
        <u/>
        <sz val="14"/>
        <color theme="1"/>
        <rFont val="Aptos Narrow"/>
        <family val="2"/>
        <scheme val="minor"/>
      </rPr>
      <t>AVERAGEIF</t>
    </r>
  </si>
  <si>
    <t>[ =AVERAGEIF(K12:K30,"Bhopal",M12:M30) ]</t>
  </si>
  <si>
    <t>Find average quantity of products sold in Bhopal</t>
  </si>
  <si>
    <t>👉 Calculates mean quantity for all orders from Bhopal.</t>
  </si>
  <si>
    <r>
      <t xml:space="preserve">🔹 4. </t>
    </r>
    <r>
      <rPr>
        <b/>
        <u/>
        <sz val="14"/>
        <color theme="1"/>
        <rFont val="Aptos Narrow"/>
        <family val="2"/>
        <scheme val="minor"/>
      </rPr>
      <t>MINIFS</t>
    </r>
  </si>
  <si>
    <t>[ =MINIFS(N13:N31,L13:L31,"Monitor",O13:O31,"Sneha Jain") ]</t>
  </si>
  <si>
    <t>👉 Returns the lowest price of Monitor orders handled by Sneha Jain.</t>
  </si>
  <si>
    <t>[ =MAXIFS(N13:N31,L13:L31,"Monitor",O13:O31,"Sneha Jain") ]</t>
  </si>
  <si>
    <t>👉 Returns the highest price of Monitor orders handled by Sneha Jain.</t>
  </si>
  <si>
    <t>Both minimum and maximum are same as there is only one entry in this sample data</t>
  </si>
  <si>
    <r>
      <t xml:space="preserve">🔹 5. </t>
    </r>
    <r>
      <rPr>
        <b/>
        <u/>
        <sz val="14"/>
        <color theme="1"/>
        <rFont val="Aptos Narrow"/>
        <family val="2"/>
        <scheme val="minor"/>
      </rPr>
      <t>MAXIFS</t>
    </r>
  </si>
  <si>
    <t>🎯 Conditional Aggregate Functions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</si>
</sst>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u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sz val="11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ont="1" applyFill="1"/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0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5" fillId="2" borderId="0" xfId="0" applyFont="1" applyFill="1"/>
    <xf numFmtId="0" fontId="0" fillId="4" borderId="1" xfId="0" applyFill="1" applyBorder="1"/>
    <xf numFmtId="0" fontId="6" fillId="2" borderId="0" xfId="0" applyFont="1" applyFill="1"/>
    <xf numFmtId="0" fontId="0" fillId="2" borderId="0" xfId="0" applyFill="1"/>
    <xf numFmtId="0" fontId="0" fillId="0" borderId="1" xfId="0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0" fillId="8" borderId="1" xfId="0" applyFill="1" applyBorder="1"/>
    <xf numFmtId="0" fontId="10" fillId="9" borderId="1" xfId="0" applyFont="1" applyFill="1" applyBorder="1"/>
    <xf numFmtId="0" fontId="10" fillId="9" borderId="2" xfId="0" applyFont="1" applyFill="1" applyBorder="1"/>
    <xf numFmtId="0" fontId="10" fillId="10" borderId="3" xfId="0" applyFont="1" applyFill="1" applyBorder="1"/>
    <xf numFmtId="0" fontId="10" fillId="10" borderId="4" xfId="0" applyFont="1" applyFill="1" applyBorder="1"/>
    <xf numFmtId="0" fontId="1" fillId="11" borderId="1" xfId="0" applyFont="1" applyFill="1" applyBorder="1"/>
    <xf numFmtId="0" fontId="0" fillId="11" borderId="1" xfId="0" applyFill="1" applyBorder="1"/>
    <xf numFmtId="0" fontId="12" fillId="2" borderId="0" xfId="0" applyFont="1" applyFill="1" applyAlignment="1">
      <alignment vertical="center"/>
    </xf>
    <xf numFmtId="0" fontId="13" fillId="2" borderId="0" xfId="0" applyFont="1" applyFill="1"/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0" fillId="3" borderId="0" xfId="0" applyFill="1"/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A9A3-5A60-416C-801A-5DC10715C5D6}">
  <sheetPr>
    <tabColor theme="6"/>
  </sheetPr>
  <dimension ref="C2:N136"/>
  <sheetViews>
    <sheetView showGridLines="0" topLeftCell="A6" zoomScaleNormal="100" workbookViewId="0">
      <selection activeCell="H12" sqref="H12:N31"/>
    </sheetView>
  </sheetViews>
  <sheetFormatPr defaultRowHeight="14.25"/>
  <cols>
    <col min="1" max="7" width="9.06640625" style="2"/>
    <col min="8" max="8" width="10.86328125" style="2" bestFit="1" customWidth="1"/>
    <col min="9" max="9" width="13.59765625" style="2" bestFit="1" customWidth="1"/>
    <col min="10" max="10" width="9.33203125" style="2" bestFit="1" customWidth="1"/>
    <col min="11" max="11" width="8.3984375" style="2" bestFit="1" customWidth="1"/>
    <col min="12" max="12" width="21.59765625" style="2" bestFit="1" customWidth="1"/>
    <col min="13" max="13" width="28.46484375" style="2" bestFit="1" customWidth="1"/>
    <col min="14" max="14" width="11.1328125" style="2" bestFit="1" customWidth="1"/>
    <col min="15" max="15" width="8.3984375" style="2" bestFit="1" customWidth="1"/>
    <col min="16" max="16" width="21.59765625" style="2" bestFit="1" customWidth="1"/>
    <col min="17" max="17" width="28.46484375" style="2" bestFit="1" customWidth="1"/>
    <col min="18" max="16384" width="9.06640625" style="2"/>
  </cols>
  <sheetData>
    <row r="2" spans="3:14" ht="21">
      <c r="G2" s="7" t="s">
        <v>0</v>
      </c>
    </row>
    <row r="3" spans="3:14" ht="17.649999999999999">
      <c r="C3" s="1"/>
    </row>
    <row r="4" spans="3:14">
      <c r="C4" s="2" t="s">
        <v>1</v>
      </c>
    </row>
    <row r="5" spans="3:14">
      <c r="C5" s="2" t="s">
        <v>2</v>
      </c>
    </row>
    <row r="7" spans="3:14" ht="18">
      <c r="C7" s="9" t="s">
        <v>81</v>
      </c>
    </row>
    <row r="8" spans="3:14">
      <c r="C8" s="2" t="s">
        <v>78</v>
      </c>
    </row>
    <row r="9" spans="3:14">
      <c r="C9" s="2" t="s">
        <v>79</v>
      </c>
    </row>
    <row r="10" spans="3:14">
      <c r="C10" s="2" t="s">
        <v>80</v>
      </c>
      <c r="G10" s="2">
        <f>SUM(M13:M31)</f>
        <v>158918.82000000004</v>
      </c>
    </row>
    <row r="11" spans="3:14">
      <c r="C11" s="4"/>
    </row>
    <row r="12" spans="3:14" ht="17.649999999999999">
      <c r="C12" s="1" t="s">
        <v>82</v>
      </c>
      <c r="H12" s="8" t="s">
        <v>3</v>
      </c>
      <c r="I12" s="8" t="s">
        <v>4</v>
      </c>
      <c r="J12" s="8" t="s">
        <v>5</v>
      </c>
      <c r="K12" s="8" t="s">
        <v>6</v>
      </c>
      <c r="L12" s="8" t="s">
        <v>7</v>
      </c>
      <c r="M12" s="8" t="s">
        <v>8</v>
      </c>
      <c r="N12" s="8" t="s">
        <v>9</v>
      </c>
    </row>
    <row r="13" spans="3:14">
      <c r="C13" s="10" t="s">
        <v>83</v>
      </c>
      <c r="H13" s="16" t="s">
        <v>10</v>
      </c>
      <c r="I13" s="16" t="s">
        <v>11</v>
      </c>
      <c r="J13" s="16" t="s">
        <v>12</v>
      </c>
      <c r="K13" s="16" t="s">
        <v>13</v>
      </c>
      <c r="L13" s="16">
        <v>5</v>
      </c>
      <c r="M13" s="16">
        <v>8540.81</v>
      </c>
      <c r="N13" s="16" t="s">
        <v>14</v>
      </c>
    </row>
    <row r="14" spans="3:14">
      <c r="C14" s="10" t="s">
        <v>84</v>
      </c>
      <c r="H14" s="16" t="s">
        <v>15</v>
      </c>
      <c r="I14" s="16" t="s">
        <v>16</v>
      </c>
      <c r="J14" s="16" t="s">
        <v>17</v>
      </c>
      <c r="K14" s="16" t="s">
        <v>13</v>
      </c>
      <c r="L14" s="16">
        <v>9</v>
      </c>
      <c r="M14" s="16">
        <v>8256.49</v>
      </c>
      <c r="N14" s="16" t="s">
        <v>18</v>
      </c>
    </row>
    <row r="15" spans="3:14">
      <c r="C15" s="2" t="s">
        <v>85</v>
      </c>
      <c r="H15" s="16" t="s">
        <v>19</v>
      </c>
      <c r="I15" s="16" t="s">
        <v>20</v>
      </c>
      <c r="J15" s="16" t="s">
        <v>21</v>
      </c>
      <c r="K15" s="16" t="s">
        <v>22</v>
      </c>
      <c r="L15" s="16">
        <v>4</v>
      </c>
      <c r="M15" s="16">
        <v>800.86</v>
      </c>
      <c r="N15" s="16" t="s">
        <v>23</v>
      </c>
    </row>
    <row r="16" spans="3:14">
      <c r="C16" s="2" t="s">
        <v>86</v>
      </c>
      <c r="H16" s="16" t="s">
        <v>24</v>
      </c>
      <c r="I16" s="16" t="s">
        <v>25</v>
      </c>
      <c r="J16" s="16" t="s">
        <v>26</v>
      </c>
      <c r="K16" s="16" t="s">
        <v>27</v>
      </c>
      <c r="L16" s="16">
        <v>9</v>
      </c>
      <c r="M16" s="16">
        <v>5116.3</v>
      </c>
      <c r="N16" s="16" t="s">
        <v>28</v>
      </c>
    </row>
    <row r="17" spans="3:14">
      <c r="C17" s="3"/>
      <c r="E17" s="2">
        <f>AVERAGE(M13:M31)</f>
        <v>8828.8233333333355</v>
      </c>
      <c r="H17" s="16" t="s">
        <v>29</v>
      </c>
      <c r="I17" s="16" t="s">
        <v>30</v>
      </c>
      <c r="J17" s="16" t="s">
        <v>31</v>
      </c>
      <c r="K17" s="16" t="s">
        <v>32</v>
      </c>
      <c r="L17" s="16">
        <v>1</v>
      </c>
      <c r="M17" s="16">
        <v>2944.93</v>
      </c>
      <c r="N17" s="16" t="s">
        <v>14</v>
      </c>
    </row>
    <row r="18" spans="3:14">
      <c r="H18" s="16" t="s">
        <v>33</v>
      </c>
      <c r="I18" s="16" t="s">
        <v>34</v>
      </c>
      <c r="J18" s="16" t="s">
        <v>35</v>
      </c>
      <c r="K18" s="16" t="s">
        <v>36</v>
      </c>
      <c r="L18" s="16">
        <v>3</v>
      </c>
      <c r="M18" s="16">
        <v>16975.13</v>
      </c>
      <c r="N18" s="16" t="s">
        <v>37</v>
      </c>
    </row>
    <row r="19" spans="3:14" ht="17.649999999999999">
      <c r="C19" s="1" t="s">
        <v>87</v>
      </c>
      <c r="H19" s="16" t="s">
        <v>38</v>
      </c>
      <c r="I19" s="16" t="s">
        <v>39</v>
      </c>
      <c r="J19" s="16" t="s">
        <v>40</v>
      </c>
      <c r="K19" s="16" t="s">
        <v>41</v>
      </c>
      <c r="L19" s="16">
        <v>6</v>
      </c>
      <c r="M19" s="16">
        <v>12833.99</v>
      </c>
      <c r="N19" s="16" t="s">
        <v>42</v>
      </c>
    </row>
    <row r="20" spans="3:14">
      <c r="C20" s="10" t="s">
        <v>88</v>
      </c>
      <c r="H20" s="16" t="s">
        <v>43</v>
      </c>
      <c r="I20" s="16" t="s">
        <v>44</v>
      </c>
      <c r="J20" s="16" t="s">
        <v>26</v>
      </c>
      <c r="K20" s="16" t="s">
        <v>45</v>
      </c>
      <c r="L20" s="16">
        <v>9</v>
      </c>
      <c r="M20" s="16">
        <v>2312.41</v>
      </c>
      <c r="N20" s="16" t="s">
        <v>18</v>
      </c>
    </row>
    <row r="21" spans="3:14">
      <c r="C21" s="10" t="s">
        <v>89</v>
      </c>
      <c r="H21" s="16" t="s">
        <v>46</v>
      </c>
      <c r="I21" s="16" t="s">
        <v>47</v>
      </c>
      <c r="J21" s="16" t="s">
        <v>48</v>
      </c>
      <c r="K21" s="16" t="s">
        <v>32</v>
      </c>
      <c r="L21" s="16"/>
      <c r="M21" s="16"/>
      <c r="N21" s="16" t="s">
        <v>37</v>
      </c>
    </row>
    <row r="22" spans="3:14">
      <c r="C22" s="2" t="s">
        <v>90</v>
      </c>
      <c r="H22" s="16"/>
      <c r="I22" s="16" t="s">
        <v>49</v>
      </c>
      <c r="J22" s="16" t="s">
        <v>26</v>
      </c>
      <c r="K22" s="16" t="s">
        <v>41</v>
      </c>
      <c r="L22" s="16">
        <v>1</v>
      </c>
      <c r="M22" s="16">
        <v>12387.03</v>
      </c>
      <c r="N22" s="16" t="s">
        <v>50</v>
      </c>
    </row>
    <row r="23" spans="3:14">
      <c r="C23" s="4" t="s">
        <v>91</v>
      </c>
      <c r="F23" s="2">
        <f>COUNT(L13:L31)</f>
        <v>16</v>
      </c>
      <c r="H23" s="16" t="s">
        <v>51</v>
      </c>
      <c r="I23" s="16" t="s">
        <v>52</v>
      </c>
      <c r="J23" s="16" t="s">
        <v>53</v>
      </c>
      <c r="K23" s="16" t="s">
        <v>41</v>
      </c>
      <c r="L23" s="16">
        <v>7</v>
      </c>
      <c r="M23" s="16">
        <v>11467.14</v>
      </c>
      <c r="N23" s="16" t="s">
        <v>37</v>
      </c>
    </row>
    <row r="24" spans="3:14">
      <c r="H24" s="16" t="s">
        <v>54</v>
      </c>
      <c r="I24" s="16" t="s">
        <v>55</v>
      </c>
      <c r="J24" s="16" t="s">
        <v>35</v>
      </c>
      <c r="K24" s="16" t="s">
        <v>22</v>
      </c>
      <c r="L24" s="16">
        <v>5</v>
      </c>
      <c r="M24" s="16">
        <v>832.29</v>
      </c>
      <c r="N24" s="16" t="s">
        <v>56</v>
      </c>
    </row>
    <row r="25" spans="3:14" ht="17.649999999999999">
      <c r="C25" s="1" t="s">
        <v>92</v>
      </c>
      <c r="H25" s="16" t="s">
        <v>57</v>
      </c>
      <c r="I25" s="16" t="s">
        <v>58</v>
      </c>
      <c r="J25" s="16" t="s">
        <v>59</v>
      </c>
      <c r="K25" s="16" t="s">
        <v>13</v>
      </c>
      <c r="L25" s="16">
        <v>4</v>
      </c>
      <c r="M25" s="16">
        <v>8394.1200000000008</v>
      </c>
      <c r="N25" s="16" t="s">
        <v>18</v>
      </c>
    </row>
    <row r="26" spans="3:14">
      <c r="C26" s="10" t="s">
        <v>93</v>
      </c>
      <c r="H26" s="16" t="s">
        <v>60</v>
      </c>
      <c r="I26" s="16" t="s">
        <v>61</v>
      </c>
      <c r="J26" s="16" t="s">
        <v>62</v>
      </c>
      <c r="K26" s="16" t="s">
        <v>27</v>
      </c>
      <c r="L26" s="16"/>
      <c r="M26" s="16">
        <v>5556.57</v>
      </c>
      <c r="N26" s="16" t="s">
        <v>23</v>
      </c>
    </row>
    <row r="27" spans="3:14">
      <c r="C27" s="10" t="s">
        <v>94</v>
      </c>
      <c r="H27" s="16" t="s">
        <v>63</v>
      </c>
      <c r="I27" s="16"/>
      <c r="J27" s="16" t="s">
        <v>31</v>
      </c>
      <c r="K27" s="16" t="s">
        <v>64</v>
      </c>
      <c r="L27" s="16"/>
      <c r="M27" s="16">
        <v>26699.35</v>
      </c>
      <c r="N27" s="16"/>
    </row>
    <row r="28" spans="3:14">
      <c r="C28" s="2" t="s">
        <v>95</v>
      </c>
      <c r="H28" s="16" t="s">
        <v>65</v>
      </c>
      <c r="I28" s="16" t="s">
        <v>66</v>
      </c>
      <c r="J28" s="16" t="s">
        <v>67</v>
      </c>
      <c r="K28" s="16" t="s">
        <v>13</v>
      </c>
      <c r="L28" s="16">
        <v>6</v>
      </c>
      <c r="M28" s="16">
        <v>8482.73</v>
      </c>
      <c r="N28" s="16" t="s">
        <v>28</v>
      </c>
    </row>
    <row r="29" spans="3:14">
      <c r="C29" s="3" t="s">
        <v>96</v>
      </c>
      <c r="F29" s="2">
        <f>COUNTA(I13:I31)</f>
        <v>18</v>
      </c>
      <c r="H29" s="16" t="s">
        <v>68</v>
      </c>
      <c r="I29" s="16" t="s">
        <v>69</v>
      </c>
      <c r="J29" s="16" t="s">
        <v>70</v>
      </c>
      <c r="K29" s="16" t="s">
        <v>36</v>
      </c>
      <c r="L29" s="16">
        <v>3</v>
      </c>
      <c r="M29" s="16">
        <v>17087.86</v>
      </c>
      <c r="N29" s="16" t="s">
        <v>71</v>
      </c>
    </row>
    <row r="30" spans="3:14">
      <c r="H30" s="16" t="s">
        <v>72</v>
      </c>
      <c r="I30" s="16" t="s">
        <v>73</v>
      </c>
      <c r="J30" s="16" t="s">
        <v>26</v>
      </c>
      <c r="K30" s="16" t="s">
        <v>74</v>
      </c>
      <c r="L30" s="16">
        <v>7</v>
      </c>
      <c r="M30" s="16">
        <v>7017.17</v>
      </c>
      <c r="N30" s="16" t="s">
        <v>18</v>
      </c>
    </row>
    <row r="31" spans="3:14" ht="17.649999999999999">
      <c r="C31" s="1" t="s">
        <v>97</v>
      </c>
      <c r="H31" s="16" t="s">
        <v>75</v>
      </c>
      <c r="I31" s="16" t="s">
        <v>76</v>
      </c>
      <c r="J31" s="16" t="s">
        <v>70</v>
      </c>
      <c r="K31" s="16" t="s">
        <v>77</v>
      </c>
      <c r="L31" s="16">
        <v>8</v>
      </c>
      <c r="M31" s="16">
        <v>3213.64</v>
      </c>
      <c r="N31" s="16" t="s">
        <v>23</v>
      </c>
    </row>
    <row r="32" spans="3:14">
      <c r="C32" s="10" t="s">
        <v>98</v>
      </c>
    </row>
    <row r="33" spans="3:13">
      <c r="C33" s="10" t="s">
        <v>99</v>
      </c>
    </row>
    <row r="34" spans="3:13">
      <c r="C34" s="2" t="s">
        <v>100</v>
      </c>
      <c r="H34" s="2">
        <f>COUNTBLANK(L13:L31)</f>
        <v>3</v>
      </c>
    </row>
    <row r="35" spans="3:13">
      <c r="C35" s="2" t="s">
        <v>101</v>
      </c>
      <c r="H35" s="2">
        <f>COUNTBLANK(I13:I31)</f>
        <v>1</v>
      </c>
    </row>
    <row r="37" spans="3:13">
      <c r="C37" s="3" t="s">
        <v>102</v>
      </c>
      <c r="K37" s="12" t="s">
        <v>112</v>
      </c>
      <c r="L37" s="12" t="s">
        <v>113</v>
      </c>
      <c r="M37" s="12" t="s">
        <v>114</v>
      </c>
    </row>
    <row r="38" spans="3:13">
      <c r="C38" s="3" t="s">
        <v>103</v>
      </c>
      <c r="K38" s="13" t="s">
        <v>115</v>
      </c>
      <c r="L38" s="15" t="s">
        <v>127</v>
      </c>
      <c r="M38" s="14" t="s">
        <v>116</v>
      </c>
    </row>
    <row r="39" spans="3:13">
      <c r="K39" s="13" t="s">
        <v>117</v>
      </c>
      <c r="L39" s="15" t="s">
        <v>128</v>
      </c>
      <c r="M39" s="14" t="s">
        <v>118</v>
      </c>
    </row>
    <row r="40" spans="3:13" ht="17.649999999999999">
      <c r="C40" s="1" t="s">
        <v>104</v>
      </c>
      <c r="K40" s="13" t="s">
        <v>119</v>
      </c>
      <c r="L40" s="15" t="s">
        <v>129</v>
      </c>
      <c r="M40" s="14" t="s">
        <v>120</v>
      </c>
    </row>
    <row r="41" spans="3:13">
      <c r="C41" s="10" t="s">
        <v>105</v>
      </c>
      <c r="K41" s="13" t="s">
        <v>121</v>
      </c>
      <c r="L41" s="15" t="s">
        <v>130</v>
      </c>
      <c r="M41" s="14" t="s">
        <v>122</v>
      </c>
    </row>
    <row r="42" spans="3:13">
      <c r="C42" s="10" t="s">
        <v>106</v>
      </c>
      <c r="K42" s="13" t="s">
        <v>123</v>
      </c>
      <c r="L42" s="15" t="s">
        <v>131</v>
      </c>
      <c r="M42" s="14" t="s">
        <v>124</v>
      </c>
    </row>
    <row r="43" spans="3:13">
      <c r="C43" s="2" t="s">
        <v>107</v>
      </c>
      <c r="H43" s="2">
        <f>MIN(M13:M31)</f>
        <v>800.86</v>
      </c>
      <c r="K43" s="13" t="s">
        <v>125</v>
      </c>
      <c r="L43" s="15" t="s">
        <v>132</v>
      </c>
      <c r="M43" s="14" t="s">
        <v>126</v>
      </c>
    </row>
    <row r="44" spans="3:13" ht="17.649999999999999">
      <c r="C44" s="1"/>
    </row>
    <row r="45" spans="3:13" ht="17.649999999999999">
      <c r="C45" s="1" t="s">
        <v>108</v>
      </c>
    </row>
    <row r="46" spans="3:13">
      <c r="C46" s="10" t="s">
        <v>109</v>
      </c>
    </row>
    <row r="47" spans="3:13">
      <c r="C47" s="10" t="s">
        <v>110</v>
      </c>
    </row>
    <row r="48" spans="3:13">
      <c r="C48" s="2" t="s">
        <v>111</v>
      </c>
      <c r="H48" s="2">
        <f>MAX(M13:M31)</f>
        <v>26699.35</v>
      </c>
    </row>
    <row r="50" spans="3:3" ht="17.649999999999999">
      <c r="C50" s="1"/>
    </row>
    <row r="52" spans="3:3">
      <c r="C52" s="3"/>
    </row>
    <row r="54" spans="3:3">
      <c r="C54" s="3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60" spans="3:3" ht="17.649999999999999">
      <c r="C60" s="1"/>
    </row>
    <row r="62" spans="3:3">
      <c r="C62" s="3"/>
    </row>
    <row r="64" spans="3:3">
      <c r="C64" s="3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70" spans="3:3" ht="17.649999999999999">
      <c r="C70" s="1"/>
    </row>
    <row r="72" spans="3:3">
      <c r="C72" s="3"/>
    </row>
    <row r="74" spans="3:3">
      <c r="C74" s="3"/>
    </row>
    <row r="75" spans="3:3">
      <c r="C75" s="5"/>
    </row>
    <row r="76" spans="3:3">
      <c r="C76" s="5"/>
    </row>
    <row r="80" spans="3:3">
      <c r="C80" s="4"/>
    </row>
    <row r="81" spans="3:3">
      <c r="C81" s="5"/>
    </row>
    <row r="82" spans="3:3">
      <c r="C82" s="5"/>
    </row>
    <row r="86" spans="3:3">
      <c r="C86" s="4"/>
    </row>
    <row r="88" spans="3:3" ht="17.649999999999999">
      <c r="C88" s="1"/>
    </row>
    <row r="90" spans="3:3">
      <c r="C90" s="3"/>
    </row>
    <row r="92" spans="3:3">
      <c r="C92" s="3"/>
    </row>
    <row r="96" spans="3:3">
      <c r="C96" s="4"/>
    </row>
    <row r="100" spans="3:3" ht="17.649999999999999">
      <c r="C100" s="1"/>
    </row>
    <row r="102" spans="3:3">
      <c r="C102" s="3"/>
    </row>
    <row r="103" spans="3:3">
      <c r="C103" s="5"/>
    </row>
    <row r="104" spans="3:3">
      <c r="C104" s="6"/>
    </row>
    <row r="105" spans="3:3">
      <c r="C105" s="5"/>
    </row>
    <row r="106" spans="3:3">
      <c r="C106" s="6"/>
    </row>
    <row r="107" spans="3:3">
      <c r="C107" s="5"/>
    </row>
    <row r="108" spans="3:3">
      <c r="C108" s="6"/>
    </row>
    <row r="110" spans="3:3">
      <c r="C110" s="3"/>
    </row>
    <row r="114" spans="3:3">
      <c r="C114" s="4"/>
    </row>
    <row r="116" spans="3:3" ht="17.649999999999999">
      <c r="C116" s="1"/>
    </row>
    <row r="119" spans="3:3">
      <c r="C119" s="5"/>
    </row>
    <row r="120" spans="3:3">
      <c r="C120" s="6"/>
    </row>
    <row r="124" spans="3:3">
      <c r="C124" s="4"/>
    </row>
    <row r="125" spans="3:3">
      <c r="C125" s="5"/>
    </row>
    <row r="126" spans="3:3">
      <c r="C126" s="6"/>
    </row>
    <row r="130" spans="3:3">
      <c r="C130" s="4"/>
    </row>
    <row r="131" spans="3:3">
      <c r="C131" s="5"/>
    </row>
    <row r="132" spans="3:3">
      <c r="C132" s="6"/>
    </row>
    <row r="136" spans="3:3">
      <c r="C1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E6C7-6B72-45B2-9944-543A24EC6B6A}">
  <sheetPr>
    <tabColor rgb="FFC00000"/>
  </sheetPr>
  <dimension ref="B2:O44"/>
  <sheetViews>
    <sheetView showGridLines="0" tabSelected="1" workbookViewId="0">
      <selection activeCell="D12" sqref="D12"/>
    </sheetView>
  </sheetViews>
  <sheetFormatPr defaultRowHeight="14.25"/>
  <cols>
    <col min="1" max="8" width="9.06640625" style="10"/>
    <col min="9" max="9" width="10.86328125" style="10" bestFit="1" customWidth="1"/>
    <col min="10" max="10" width="13.59765625" style="10" bestFit="1" customWidth="1"/>
    <col min="11" max="11" width="9.33203125" style="10" bestFit="1" customWidth="1"/>
    <col min="12" max="12" width="11.265625" style="10" bestFit="1" customWidth="1"/>
    <col min="13" max="13" width="24.796875" style="10" bestFit="1" customWidth="1"/>
    <col min="14" max="14" width="32.796875" style="10" bestFit="1" customWidth="1"/>
    <col min="15" max="15" width="11.1328125" style="10" bestFit="1" customWidth="1"/>
    <col min="16" max="16" width="7.3984375" style="10" bestFit="1" customWidth="1"/>
    <col min="17" max="17" width="8.73046875" style="10" bestFit="1" customWidth="1"/>
    <col min="18" max="18" width="11.1328125" style="10" bestFit="1" customWidth="1"/>
    <col min="19" max="16384" width="9.06640625" style="10"/>
  </cols>
  <sheetData>
    <row r="2" spans="2:15" ht="23.25">
      <c r="H2" s="23" t="s">
        <v>135</v>
      </c>
    </row>
    <row r="4" spans="2:15" ht="18">
      <c r="B4" s="21" t="s">
        <v>141</v>
      </c>
      <c r="C4" s="10" t="s">
        <v>136</v>
      </c>
      <c r="L4" s="24" t="s">
        <v>154</v>
      </c>
    </row>
    <row r="5" spans="2:15">
      <c r="B5" s="10" t="s">
        <v>137</v>
      </c>
    </row>
    <row r="6" spans="2:15">
      <c r="B6" s="21" t="s">
        <v>142</v>
      </c>
      <c r="C6" s="10" t="s">
        <v>138</v>
      </c>
      <c r="L6" s="27" t="s">
        <v>112</v>
      </c>
      <c r="M6" s="27" t="s">
        <v>145</v>
      </c>
      <c r="N6" s="27" t="s">
        <v>146</v>
      </c>
    </row>
    <row r="7" spans="2:15">
      <c r="B7" s="10" t="s">
        <v>144</v>
      </c>
      <c r="L7" s="28" t="s">
        <v>133</v>
      </c>
      <c r="M7" s="11" t="s">
        <v>147</v>
      </c>
      <c r="N7" s="11" t="s">
        <v>148</v>
      </c>
    </row>
    <row r="8" spans="2:15">
      <c r="B8" s="21" t="s">
        <v>143</v>
      </c>
      <c r="C8" s="22"/>
      <c r="D8" s="22"/>
      <c r="E8" s="10" t="s">
        <v>139</v>
      </c>
      <c r="L8" s="28" t="s">
        <v>134</v>
      </c>
      <c r="M8" s="11" t="s">
        <v>149</v>
      </c>
      <c r="N8" s="11" t="s">
        <v>148</v>
      </c>
    </row>
    <row r="9" spans="2:15">
      <c r="B9" s="10" t="s">
        <v>140</v>
      </c>
      <c r="L9" s="28" t="s">
        <v>150</v>
      </c>
      <c r="M9" s="11" t="s">
        <v>151</v>
      </c>
      <c r="N9" s="11" t="s">
        <v>148</v>
      </c>
    </row>
    <row r="10" spans="2:15">
      <c r="L10" s="28" t="s">
        <v>152</v>
      </c>
      <c r="M10" s="11" t="s">
        <v>153</v>
      </c>
      <c r="N10" s="11" t="s">
        <v>148</v>
      </c>
    </row>
    <row r="11" spans="2:15" ht="23.25">
      <c r="B11" s="31" t="s">
        <v>180</v>
      </c>
      <c r="L11" s="25"/>
      <c r="M11" s="26"/>
      <c r="N11" s="26"/>
    </row>
    <row r="12" spans="2:15">
      <c r="I12" s="17" t="s">
        <v>3</v>
      </c>
      <c r="J12" s="18" t="s">
        <v>4</v>
      </c>
      <c r="K12" s="18" t="s">
        <v>5</v>
      </c>
      <c r="L12" s="18" t="s">
        <v>6</v>
      </c>
      <c r="M12" s="18" t="s">
        <v>7</v>
      </c>
      <c r="N12" s="18" t="s">
        <v>8</v>
      </c>
      <c r="O12" s="18" t="s">
        <v>9</v>
      </c>
    </row>
    <row r="13" spans="2:15">
      <c r="B13" s="10" t="s">
        <v>159</v>
      </c>
      <c r="I13" s="19" t="s">
        <v>10</v>
      </c>
      <c r="J13" s="20" t="s">
        <v>11</v>
      </c>
      <c r="K13" s="20" t="s">
        <v>12</v>
      </c>
      <c r="L13" s="20" t="s">
        <v>13</v>
      </c>
      <c r="M13" s="20">
        <v>5</v>
      </c>
      <c r="N13" s="20">
        <v>8540.81</v>
      </c>
      <c r="O13" s="20" t="s">
        <v>14</v>
      </c>
    </row>
    <row r="14" spans="2:15">
      <c r="B14" s="10" t="s">
        <v>162</v>
      </c>
      <c r="I14" s="19" t="s">
        <v>15</v>
      </c>
      <c r="J14" s="20" t="s">
        <v>16</v>
      </c>
      <c r="K14" s="20" t="s">
        <v>17</v>
      </c>
      <c r="L14" s="20" t="s">
        <v>13</v>
      </c>
      <c r="M14" s="20">
        <v>9</v>
      </c>
      <c r="N14" s="20">
        <v>8256.49</v>
      </c>
      <c r="O14" s="20" t="s">
        <v>18</v>
      </c>
    </row>
    <row r="15" spans="2:15">
      <c r="B15" s="10" t="s">
        <v>160</v>
      </c>
      <c r="I15" s="19" t="s">
        <v>19</v>
      </c>
      <c r="J15" s="20" t="s">
        <v>20</v>
      </c>
      <c r="K15" s="20" t="s">
        <v>21</v>
      </c>
      <c r="L15" s="20" t="s">
        <v>22</v>
      </c>
      <c r="M15" s="20">
        <v>4</v>
      </c>
      <c r="N15" s="20">
        <v>800.86</v>
      </c>
      <c r="O15" s="20" t="s">
        <v>23</v>
      </c>
    </row>
    <row r="16" spans="2:15">
      <c r="B16" s="10" t="s">
        <v>161</v>
      </c>
      <c r="I16" s="19" t="s">
        <v>24</v>
      </c>
      <c r="J16" s="20" t="s">
        <v>25</v>
      </c>
      <c r="K16" s="20" t="s">
        <v>26</v>
      </c>
      <c r="L16" s="20" t="s">
        <v>27</v>
      </c>
      <c r="M16" s="20">
        <v>9</v>
      </c>
      <c r="N16" s="20">
        <v>5116.3</v>
      </c>
      <c r="O16" s="20" t="s">
        <v>28</v>
      </c>
    </row>
    <row r="17" spans="2:15">
      <c r="I17" s="19" t="s">
        <v>29</v>
      </c>
      <c r="J17" s="20" t="s">
        <v>30</v>
      </c>
      <c r="K17" s="20" t="s">
        <v>31</v>
      </c>
      <c r="L17" s="20" t="s">
        <v>32</v>
      </c>
      <c r="M17" s="20">
        <v>1</v>
      </c>
      <c r="N17" s="20">
        <v>2944.93</v>
      </c>
      <c r="O17" s="20" t="s">
        <v>14</v>
      </c>
    </row>
    <row r="18" spans="2:15">
      <c r="I18" s="19" t="s">
        <v>33</v>
      </c>
      <c r="J18" s="20" t="s">
        <v>34</v>
      </c>
      <c r="K18" s="20" t="s">
        <v>35</v>
      </c>
      <c r="L18" s="20" t="s">
        <v>36</v>
      </c>
      <c r="M18" s="20">
        <v>3</v>
      </c>
      <c r="N18" s="20">
        <v>16975.13</v>
      </c>
      <c r="O18" s="20" t="s">
        <v>37</v>
      </c>
    </row>
    <row r="19" spans="2:15" ht="18">
      <c r="B19" s="29" t="s">
        <v>165</v>
      </c>
      <c r="C19" s="30"/>
      <c r="I19" s="19" t="s">
        <v>38</v>
      </c>
      <c r="J19" s="20" t="s">
        <v>39</v>
      </c>
      <c r="K19" s="20" t="s">
        <v>40</v>
      </c>
      <c r="L19" s="20" t="s">
        <v>41</v>
      </c>
      <c r="M19" s="20">
        <v>6</v>
      </c>
      <c r="N19" s="20">
        <v>12833.99</v>
      </c>
      <c r="O19" s="20" t="s">
        <v>42</v>
      </c>
    </row>
    <row r="20" spans="2:15">
      <c r="B20" s="10" t="s">
        <v>155</v>
      </c>
      <c r="I20" s="19" t="s">
        <v>43</v>
      </c>
      <c r="J20" s="20" t="s">
        <v>44</v>
      </c>
      <c r="K20" s="20" t="s">
        <v>26</v>
      </c>
      <c r="L20" s="20" t="s">
        <v>45</v>
      </c>
      <c r="M20" s="20">
        <v>9</v>
      </c>
      <c r="N20" s="20">
        <v>2312.41</v>
      </c>
      <c r="O20" s="20" t="s">
        <v>18</v>
      </c>
    </row>
    <row r="21" spans="2:15">
      <c r="B21" s="3" t="s">
        <v>163</v>
      </c>
      <c r="F21" s="10">
        <f>SUMIF(O12:O30,"Rahul Singh",M12:M30)</f>
        <v>6</v>
      </c>
      <c r="I21" s="19" t="s">
        <v>46</v>
      </c>
      <c r="J21" s="20" t="s">
        <v>47</v>
      </c>
      <c r="K21" s="20" t="s">
        <v>48</v>
      </c>
      <c r="L21" s="20" t="s">
        <v>32</v>
      </c>
      <c r="M21" s="20"/>
      <c r="N21" s="20"/>
      <c r="O21" s="20" t="s">
        <v>37</v>
      </c>
    </row>
    <row r="22" spans="2:15">
      <c r="B22" s="10" t="s">
        <v>164</v>
      </c>
      <c r="I22" s="19"/>
      <c r="J22" s="20" t="s">
        <v>49</v>
      </c>
      <c r="K22" s="20" t="s">
        <v>26</v>
      </c>
      <c r="L22" s="20" t="s">
        <v>41</v>
      </c>
      <c r="M22" s="20">
        <v>1</v>
      </c>
      <c r="N22" s="20">
        <v>12387.03</v>
      </c>
      <c r="O22" s="20" t="s">
        <v>50</v>
      </c>
    </row>
    <row r="23" spans="2:15">
      <c r="I23" s="19" t="s">
        <v>51</v>
      </c>
      <c r="J23" s="20" t="s">
        <v>52</v>
      </c>
      <c r="K23" s="20" t="s">
        <v>53</v>
      </c>
      <c r="L23" s="20" t="s">
        <v>41</v>
      </c>
      <c r="M23" s="20">
        <v>7</v>
      </c>
      <c r="N23" s="20">
        <v>11467.14</v>
      </c>
      <c r="O23" s="20" t="s">
        <v>37</v>
      </c>
    </row>
    <row r="24" spans="2:15" ht="18">
      <c r="B24" s="29" t="s">
        <v>168</v>
      </c>
      <c r="C24" s="30"/>
      <c r="I24" s="19" t="s">
        <v>54</v>
      </c>
      <c r="J24" s="20" t="s">
        <v>55</v>
      </c>
      <c r="K24" s="20" t="s">
        <v>35</v>
      </c>
      <c r="L24" s="20" t="s">
        <v>22</v>
      </c>
      <c r="M24" s="20">
        <v>5</v>
      </c>
      <c r="N24" s="20">
        <v>832.29</v>
      </c>
      <c r="O24" s="20" t="s">
        <v>56</v>
      </c>
    </row>
    <row r="25" spans="2:15">
      <c r="B25" s="10" t="s">
        <v>156</v>
      </c>
      <c r="I25" s="19" t="s">
        <v>57</v>
      </c>
      <c r="J25" s="20" t="s">
        <v>58</v>
      </c>
      <c r="K25" s="20" t="s">
        <v>59</v>
      </c>
      <c r="L25" s="20" t="s">
        <v>13</v>
      </c>
      <c r="M25" s="20">
        <v>4</v>
      </c>
      <c r="N25" s="20">
        <v>8394.1200000000008</v>
      </c>
      <c r="O25" s="20" t="s">
        <v>18</v>
      </c>
    </row>
    <row r="26" spans="2:15">
      <c r="B26" s="3" t="s">
        <v>166</v>
      </c>
      <c r="F26" s="10">
        <f>COUNTIF(O12:O30,"Karan Patel")</f>
        <v>4</v>
      </c>
      <c r="I26" s="19" t="s">
        <v>60</v>
      </c>
      <c r="J26" s="20" t="s">
        <v>61</v>
      </c>
      <c r="K26" s="20" t="s">
        <v>62</v>
      </c>
      <c r="L26" s="20" t="s">
        <v>27</v>
      </c>
      <c r="M26" s="20"/>
      <c r="N26" s="20">
        <v>5556.57</v>
      </c>
      <c r="O26" s="20" t="s">
        <v>23</v>
      </c>
    </row>
    <row r="27" spans="2:15">
      <c r="B27" s="10" t="s">
        <v>167</v>
      </c>
      <c r="I27" s="19" t="s">
        <v>63</v>
      </c>
      <c r="J27" s="20"/>
      <c r="K27" s="20" t="s">
        <v>31</v>
      </c>
      <c r="L27" s="20" t="s">
        <v>64</v>
      </c>
      <c r="M27" s="20"/>
      <c r="N27" s="20">
        <v>26699.35</v>
      </c>
      <c r="O27" s="20"/>
    </row>
    <row r="28" spans="2:15">
      <c r="I28" s="19" t="s">
        <v>65</v>
      </c>
      <c r="J28" s="20" t="s">
        <v>66</v>
      </c>
      <c r="K28" s="20" t="s">
        <v>67</v>
      </c>
      <c r="L28" s="20" t="s">
        <v>13</v>
      </c>
      <c r="M28" s="20">
        <v>6</v>
      </c>
      <c r="N28" s="20">
        <v>8482.73</v>
      </c>
      <c r="O28" s="20" t="s">
        <v>28</v>
      </c>
    </row>
    <row r="29" spans="2:15" ht="18">
      <c r="B29" s="29" t="s">
        <v>169</v>
      </c>
      <c r="C29" s="30"/>
      <c r="I29" s="19" t="s">
        <v>68</v>
      </c>
      <c r="J29" s="20" t="s">
        <v>69</v>
      </c>
      <c r="K29" s="20" t="s">
        <v>70</v>
      </c>
      <c r="L29" s="20" t="s">
        <v>36</v>
      </c>
      <c r="M29" s="20">
        <v>3</v>
      </c>
      <c r="N29" s="20">
        <v>17087.86</v>
      </c>
      <c r="O29" s="20" t="s">
        <v>71</v>
      </c>
    </row>
    <row r="30" spans="2:15">
      <c r="B30" s="10" t="s">
        <v>171</v>
      </c>
      <c r="I30" s="19" t="s">
        <v>72</v>
      </c>
      <c r="J30" s="20" t="s">
        <v>73</v>
      </c>
      <c r="K30" s="20" t="s">
        <v>26</v>
      </c>
      <c r="L30" s="20" t="s">
        <v>74</v>
      </c>
      <c r="M30" s="20">
        <v>7</v>
      </c>
      <c r="N30" s="20">
        <v>7017.17</v>
      </c>
      <c r="O30" s="20" t="s">
        <v>18</v>
      </c>
    </row>
    <row r="31" spans="2:15">
      <c r="B31" s="3" t="s">
        <v>170</v>
      </c>
      <c r="F31" s="10">
        <f>AVERAGEIF(K12:K30,"Bhopal",M12:M30)</f>
        <v>6.5</v>
      </c>
      <c r="I31" s="19" t="s">
        <v>75</v>
      </c>
      <c r="J31" s="20" t="s">
        <v>76</v>
      </c>
      <c r="K31" s="20" t="s">
        <v>70</v>
      </c>
      <c r="L31" s="20" t="s">
        <v>77</v>
      </c>
      <c r="M31" s="20">
        <v>8</v>
      </c>
      <c r="N31" s="20">
        <v>3213.64</v>
      </c>
      <c r="O31" s="20" t="s">
        <v>23</v>
      </c>
    </row>
    <row r="32" spans="2:15">
      <c r="B32" s="10" t="s">
        <v>172</v>
      </c>
    </row>
    <row r="34" spans="2:8" ht="18">
      <c r="B34" s="29" t="s">
        <v>173</v>
      </c>
      <c r="C34" s="30"/>
    </row>
    <row r="35" spans="2:8">
      <c r="B35" s="10" t="s">
        <v>157</v>
      </c>
    </row>
    <row r="36" spans="2:8">
      <c r="B36" s="3" t="s">
        <v>174</v>
      </c>
      <c r="H36" s="10">
        <f>_xlfn.MINIFS(N13:N31,L13:L31,"Monitor",O13:O31,"Sneha Jain")</f>
        <v>11467.14</v>
      </c>
    </row>
    <row r="37" spans="2:8">
      <c r="B37" s="10" t="s">
        <v>175</v>
      </c>
    </row>
    <row r="39" spans="2:8" ht="18">
      <c r="B39" s="29" t="s">
        <v>179</v>
      </c>
      <c r="C39" s="30"/>
    </row>
    <row r="40" spans="2:8">
      <c r="B40" s="10" t="s">
        <v>158</v>
      </c>
    </row>
    <row r="41" spans="2:8">
      <c r="B41" s="3" t="s">
        <v>176</v>
      </c>
      <c r="H41" s="10">
        <f>_xlfn.MAXIFS(N13:N31,L13:L31,"Monitor",O13:O31,"Sneha Jain")</f>
        <v>11467.14</v>
      </c>
    </row>
    <row r="42" spans="2:8">
      <c r="B42" s="10" t="s">
        <v>177</v>
      </c>
    </row>
    <row r="44" spans="2:8">
      <c r="B44" s="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Aggregate Functions in Excel</vt:lpstr>
      <vt:lpstr>Conditional Aggregate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2026-07-06T10:18:33Z</dcterms:created>
  <dcterms:modified xsi:type="dcterms:W3CDTF">2026-07-06T12:16:30Z</dcterms:modified>
</cp:coreProperties>
</file>