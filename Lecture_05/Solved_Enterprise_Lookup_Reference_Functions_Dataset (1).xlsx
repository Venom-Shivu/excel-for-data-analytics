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iva\Desktop\lectures\"/>
    </mc:Choice>
  </mc:AlternateContent>
  <xr:revisionPtr revIDLastSave="0" documentId="13_ncr:1_{A4F89AB8-06FA-4427-A494-0AA7D9F42978}" xr6:coauthVersionLast="47" xr6:coauthVersionMax="47" xr10:uidLastSave="{00000000-0000-0000-0000-000000000000}"/>
  <bookViews>
    <workbookView xWindow="34452" yWindow="-108" windowWidth="23256" windowHeight="13176" firstSheet="1" activeTab="1" xr2:uid="{00000000-000D-0000-FFFF-FFFF00000000}"/>
  </bookViews>
  <sheets>
    <sheet name="Sales_Transactions" sheetId="2" r:id="rId1"/>
    <sheet name="Sheet1" sheetId="7" r:id="rId2"/>
    <sheet name="Product_Master" sheetId="3" r:id="rId3"/>
    <sheet name="VLOOKUP" sheetId="8" r:id="rId4"/>
    <sheet name="Customer_Master" sheetId="4" r:id="rId5"/>
    <sheet name="Employee_Master" sheetId="5" r:id="rId6"/>
    <sheet name="Monthly_Targets" sheetId="6" r:id="rId7"/>
  </sheets>
  <definedNames>
    <definedName name="_xlnm._FilterDatabase" localSheetId="4" hidden="1">Customer_Master!$A$1:$J$421</definedName>
    <definedName name="_xlnm._FilterDatabase" localSheetId="5" hidden="1">Employee_Master!$A$1:$I$26</definedName>
    <definedName name="_xlnm._FilterDatabase" localSheetId="6" hidden="1">Monthly_Targets!$A$1:$M$26</definedName>
    <definedName name="_xlnm._FilterDatabase" localSheetId="2" hidden="1">Product_Master!$A$1:$J$81</definedName>
    <definedName name="_xlnm._FilterDatabase" localSheetId="0" hidden="1">Sales_Transactions!$A$1:$J$1601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5" i="7" l="1"/>
  <c r="C216" i="7" s="1"/>
  <c r="B215" i="7"/>
  <c r="B216" i="7" s="1"/>
  <c r="B214" i="7"/>
  <c r="B206" i="7"/>
  <c r="C206" i="7"/>
  <c r="B211" i="7"/>
  <c r="B212" i="7" s="1"/>
  <c r="G32" i="5"/>
  <c r="G31" i="5"/>
  <c r="G30" i="5"/>
  <c r="H30" i="5"/>
  <c r="B193" i="7"/>
  <c r="C30" i="6"/>
  <c r="C38" i="6"/>
  <c r="C35" i="6"/>
  <c r="D30" i="6"/>
  <c r="C32" i="6"/>
  <c r="C31" i="6"/>
  <c r="B181" i="7"/>
  <c r="B182" i="7"/>
  <c r="B180" i="7"/>
  <c r="B177" i="7"/>
  <c r="B173" i="7"/>
  <c r="B172" i="7"/>
  <c r="D174" i="7"/>
  <c r="D140" i="7"/>
  <c r="B151" i="7"/>
  <c r="B139" i="7"/>
  <c r="B138" i="7"/>
  <c r="B135" i="7"/>
  <c r="B105" i="7"/>
  <c r="B112" i="7" a="1"/>
  <c r="B112" i="7" s="1"/>
  <c r="B113" i="7"/>
  <c r="B109" i="7" a="1"/>
  <c r="B109" i="7" s="1"/>
  <c r="B108" i="7" a="1"/>
  <c r="B108" i="7" s="1"/>
  <c r="B76" i="7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2" i="8"/>
  <c r="B68" i="7"/>
  <c r="B73" i="7"/>
  <c r="D30" i="7"/>
  <c r="D31" i="7"/>
  <c r="D32" i="7"/>
  <c r="D33" i="7"/>
  <c r="D34" i="7"/>
  <c r="D29" i="7"/>
  <c r="H30" i="7"/>
  <c r="G30" i="7"/>
  <c r="F30" i="7"/>
  <c r="G3" i="7"/>
  <c r="G5" i="7"/>
  <c r="G2" i="7"/>
  <c r="G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<sst xmlns="http://schemas.openxmlformats.org/spreadsheetml/2006/main" count="15546" uniqueCount="2853">
  <si>
    <t>Order ID</t>
  </si>
  <si>
    <t>Order Date</t>
  </si>
  <si>
    <t>Customer ID</t>
  </si>
  <si>
    <t>Product ID</t>
  </si>
  <si>
    <t>Salesperson ID</t>
  </si>
  <si>
    <t>Quantity</t>
  </si>
  <si>
    <t>Discount %</t>
  </si>
  <si>
    <t>Shipping Mode</t>
  </si>
  <si>
    <t>Payment Mode</t>
  </si>
  <si>
    <t>Order Status</t>
  </si>
  <si>
    <t>ORD-100001</t>
  </si>
  <si>
    <t>CUST-0082</t>
  </si>
  <si>
    <t>PRD-0014</t>
  </si>
  <si>
    <t>EMP-014</t>
  </si>
  <si>
    <t>Standard</t>
  </si>
  <si>
    <t>COD</t>
  </si>
  <si>
    <t>Processing</t>
  </si>
  <si>
    <t>ORD-100002</t>
  </si>
  <si>
    <t>CUST-0314</t>
  </si>
  <si>
    <t>PRD-0004</t>
  </si>
  <si>
    <t>EMP-022</t>
  </si>
  <si>
    <t>Delivered</t>
  </si>
  <si>
    <t>ORD-100003</t>
  </si>
  <si>
    <t>CUST-0033</t>
  </si>
  <si>
    <t>PRD-0034</t>
  </si>
  <si>
    <t>EMP-021</t>
  </si>
  <si>
    <t>Same Day</t>
  </si>
  <si>
    <t>Net Banking</t>
  </si>
  <si>
    <t>ORD-100004</t>
  </si>
  <si>
    <t>CUST-0353</t>
  </si>
  <si>
    <t>PRD-0080</t>
  </si>
  <si>
    <t>EMP-004</t>
  </si>
  <si>
    <t>ORD-100005</t>
  </si>
  <si>
    <t>CUST-0286</t>
  </si>
  <si>
    <t>PRD-0079</t>
  </si>
  <si>
    <t>EMP-002</t>
  </si>
  <si>
    <t>Cancelled</t>
  </si>
  <si>
    <t>ORD-100006</t>
  </si>
  <si>
    <t>CUST-0085</t>
  </si>
  <si>
    <t>PRD-0010</t>
  </si>
  <si>
    <t>EMP-025</t>
  </si>
  <si>
    <t>ORD-100007</t>
  </si>
  <si>
    <t>CUST-0115</t>
  </si>
  <si>
    <t>PRD-0071</t>
  </si>
  <si>
    <t>ORD-100008</t>
  </si>
  <si>
    <t>CUST-0230</t>
  </si>
  <si>
    <t>PRD-0012</t>
  </si>
  <si>
    <t>EMP-016</t>
  </si>
  <si>
    <t>UPI</t>
  </si>
  <si>
    <t>ORD-100009</t>
  </si>
  <si>
    <t>CUST-0212</t>
  </si>
  <si>
    <t>PRD-0005</t>
  </si>
  <si>
    <t>EMP-018</t>
  </si>
  <si>
    <t>Express</t>
  </si>
  <si>
    <t>Card</t>
  </si>
  <si>
    <t>ORD-100010</t>
  </si>
  <si>
    <t>CUST-0234</t>
  </si>
  <si>
    <t>PRD-0044</t>
  </si>
  <si>
    <t>EMP-012</t>
  </si>
  <si>
    <t>Shipped</t>
  </si>
  <si>
    <t>ORD-100011</t>
  </si>
  <si>
    <t>CUST-0187</t>
  </si>
  <si>
    <t>PRD-0058</t>
  </si>
  <si>
    <t>ORD-100012</t>
  </si>
  <si>
    <t>CUST-0410</t>
  </si>
  <si>
    <t>PRD-0038</t>
  </si>
  <si>
    <t>ORD-100013</t>
  </si>
  <si>
    <t>CUST-0368</t>
  </si>
  <si>
    <t>PRD-0053</t>
  </si>
  <si>
    <t>ORD-100014</t>
  </si>
  <si>
    <t>CUST-0401</t>
  </si>
  <si>
    <t>PRD-0025</t>
  </si>
  <si>
    <t>EMP-023</t>
  </si>
  <si>
    <t>ORD-100015</t>
  </si>
  <si>
    <t>CUST-0231</t>
  </si>
  <si>
    <t>PRD-0059</t>
  </si>
  <si>
    <t>ORD-100016</t>
  </si>
  <si>
    <t>CUST-0222</t>
  </si>
  <si>
    <t>PRD-0075</t>
  </si>
  <si>
    <t>ORD-100017</t>
  </si>
  <si>
    <t>CUST-0337</t>
  </si>
  <si>
    <t>PRD-0077</t>
  </si>
  <si>
    <t>EMP-020</t>
  </si>
  <si>
    <t>ORD-100018</t>
  </si>
  <si>
    <t>CUST-0176</t>
  </si>
  <si>
    <t>EMP-015</t>
  </si>
  <si>
    <t>ORD-100019</t>
  </si>
  <si>
    <t>CUST-0281</t>
  </si>
  <si>
    <t>PRD-0041</t>
  </si>
  <si>
    <t>ORD-100020</t>
  </si>
  <si>
    <t>CUST-0345</t>
  </si>
  <si>
    <t>PRD-0017</t>
  </si>
  <si>
    <t>ORD-100021</t>
  </si>
  <si>
    <t>CUST-0299</t>
  </si>
  <si>
    <t>PRD-0074</t>
  </si>
  <si>
    <t>ORD-100022</t>
  </si>
  <si>
    <t>CUST-0268</t>
  </si>
  <si>
    <t>EMP-001</t>
  </si>
  <si>
    <t>ORD-100023</t>
  </si>
  <si>
    <t>CUST-0403</t>
  </si>
  <si>
    <t>PRD-0021</t>
  </si>
  <si>
    <t>EMP-010</t>
  </si>
  <si>
    <t>ORD-100024</t>
  </si>
  <si>
    <t>CUST-0278</t>
  </si>
  <si>
    <t>ORD-100025</t>
  </si>
  <si>
    <t>CUST-0402</t>
  </si>
  <si>
    <t>PRD-0037</t>
  </si>
  <si>
    <t>Returned</t>
  </si>
  <si>
    <t>ORD-100026</t>
  </si>
  <si>
    <t>CUST-0028</t>
  </si>
  <si>
    <t>PRD-0002</t>
  </si>
  <si>
    <t>EMP-024</t>
  </si>
  <si>
    <t>ORD-100027</t>
  </si>
  <si>
    <t>CUST-0280</t>
  </si>
  <si>
    <t>PRD-0078</t>
  </si>
  <si>
    <t>EMP-007</t>
  </si>
  <si>
    <t>ORD-100028</t>
  </si>
  <si>
    <t>CUST-0089</t>
  </si>
  <si>
    <t>PRD-0066</t>
  </si>
  <si>
    <t>ORD-100029</t>
  </si>
  <si>
    <t>CUST-0300</t>
  </si>
  <si>
    <t>PRD-0033</t>
  </si>
  <si>
    <t>ORD-100030</t>
  </si>
  <si>
    <t>CUST-0397</t>
  </si>
  <si>
    <t>ORD-100031</t>
  </si>
  <si>
    <t>CUST-0095</t>
  </si>
  <si>
    <t>PRD-0067</t>
  </si>
  <si>
    <t>EMP-003</t>
  </si>
  <si>
    <t>ORD-100032</t>
  </si>
  <si>
    <t>CUST-0114</t>
  </si>
  <si>
    <t>PRD-0028</t>
  </si>
  <si>
    <t>ORD-100033</t>
  </si>
  <si>
    <t>CUST-0386</t>
  </si>
  <si>
    <t>ORD-100034</t>
  </si>
  <si>
    <t>CUST-0350</t>
  </si>
  <si>
    <t>PRD-0042</t>
  </si>
  <si>
    <t>EMP-013</t>
  </si>
  <si>
    <t>ORD-100035</t>
  </si>
  <si>
    <t>CUST-0265</t>
  </si>
  <si>
    <t>PRD-0048</t>
  </si>
  <si>
    <t>EMP-017</t>
  </si>
  <si>
    <t>ORD-100036</t>
  </si>
  <si>
    <t>CUST-0043</t>
  </si>
  <si>
    <t>PRD-0013</t>
  </si>
  <si>
    <t>EMP-006</t>
  </si>
  <si>
    <t>ORD-100037</t>
  </si>
  <si>
    <t>CUST-0218</t>
  </si>
  <si>
    <t>ORD-100038</t>
  </si>
  <si>
    <t>PRD-0043</t>
  </si>
  <si>
    <t>ORD-100039</t>
  </si>
  <si>
    <t>CUST-0295</t>
  </si>
  <si>
    <t>PRD-0030</t>
  </si>
  <si>
    <t>EMP-009</t>
  </si>
  <si>
    <t>ORD-100040</t>
  </si>
  <si>
    <t>CUST-0200</t>
  </si>
  <si>
    <t>PRD-0016</t>
  </si>
  <si>
    <t>ORD-100041</t>
  </si>
  <si>
    <t>CUST-0038</t>
  </si>
  <si>
    <t>PRD-0046</t>
  </si>
  <si>
    <t>ORD-100042</t>
  </si>
  <si>
    <t>CUST-0225</t>
  </si>
  <si>
    <t>PRD-0049</t>
  </si>
  <si>
    <t>ORD-100043</t>
  </si>
  <si>
    <t>CUST-0408</t>
  </si>
  <si>
    <t>PRD-0070</t>
  </si>
  <si>
    <t>ORD-100044</t>
  </si>
  <si>
    <t>CUST-0285</t>
  </si>
  <si>
    <t>PRD-0019</t>
  </si>
  <si>
    <t>ORD-100045</t>
  </si>
  <si>
    <t>CUST-0384</t>
  </si>
  <si>
    <t>PRD-0045</t>
  </si>
  <si>
    <t>ORD-100046</t>
  </si>
  <si>
    <t>CUST-0130</t>
  </si>
  <si>
    <t>ORD-100047</t>
  </si>
  <si>
    <t>ORD-100048</t>
  </si>
  <si>
    <t>CUST-0183</t>
  </si>
  <si>
    <t>ORD-100049</t>
  </si>
  <si>
    <t>ORD-100050</t>
  </si>
  <si>
    <t>CUST-0220</t>
  </si>
  <si>
    <t>PRD-0022</t>
  </si>
  <si>
    <t>ORD-100051</t>
  </si>
  <si>
    <t>CUST-0185</t>
  </si>
  <si>
    <t>PRD-0018</t>
  </si>
  <si>
    <t>ORD-100052</t>
  </si>
  <si>
    <t>CUST-0056</t>
  </si>
  <si>
    <t>PRD-0023</t>
  </si>
  <si>
    <t>ORD-100053</t>
  </si>
  <si>
    <t>CUST-0321</t>
  </si>
  <si>
    <t>ORD-100054</t>
  </si>
  <si>
    <t>CUST-0109</t>
  </si>
  <si>
    <t>ORD-100055</t>
  </si>
  <si>
    <t>PRD-0076</t>
  </si>
  <si>
    <t>ORD-100056</t>
  </si>
  <si>
    <t>CUST-0258</t>
  </si>
  <si>
    <t>ORD-100057</t>
  </si>
  <si>
    <t>CUST-0092</t>
  </si>
  <si>
    <t>PRD-0073</t>
  </si>
  <si>
    <t>EMP-019</t>
  </si>
  <si>
    <t>ORD-100058</t>
  </si>
  <si>
    <t>CUST-0250</t>
  </si>
  <si>
    <t>ORD-100059</t>
  </si>
  <si>
    <t>CUST-0406</t>
  </si>
  <si>
    <t>PRD-0047</t>
  </si>
  <si>
    <t>ORD-100060</t>
  </si>
  <si>
    <t>CUST-0267</t>
  </si>
  <si>
    <t>PRD-0036</t>
  </si>
  <si>
    <t>ORD-100061</t>
  </si>
  <si>
    <t>CUST-0335</t>
  </si>
  <si>
    <t>ORD-100062</t>
  </si>
  <si>
    <t>CUST-0177</t>
  </si>
  <si>
    <t>PRD-0063</t>
  </si>
  <si>
    <t>ORD-100063</t>
  </si>
  <si>
    <t>CUST-0330</t>
  </si>
  <si>
    <t>ORD-100064</t>
  </si>
  <si>
    <t>CUST-0213</t>
  </si>
  <si>
    <t>ORD-100065</t>
  </si>
  <si>
    <t>CUST-0211</t>
  </si>
  <si>
    <t>PRD-0003</t>
  </si>
  <si>
    <t>EMP-008</t>
  </si>
  <si>
    <t>ORD-100066</t>
  </si>
  <si>
    <t>CUST-0076</t>
  </si>
  <si>
    <t>PRD-0008</t>
  </si>
  <si>
    <t>ORD-100067</t>
  </si>
  <si>
    <t>CUST-0373</t>
  </si>
  <si>
    <t>ORD-100068</t>
  </si>
  <si>
    <t>EMP-005</t>
  </si>
  <si>
    <t>ORD-100069</t>
  </si>
  <si>
    <t>CUST-0306</t>
  </si>
  <si>
    <t>ORD-100070</t>
  </si>
  <si>
    <t>CUST-0259</t>
  </si>
  <si>
    <t>PRD-0054</t>
  </si>
  <si>
    <t>ORD-100071</t>
  </si>
  <si>
    <t>CUST-0273</t>
  </si>
  <si>
    <t>PRD-0065</t>
  </si>
  <si>
    <t>ORD-100072</t>
  </si>
  <si>
    <t>PRD-0056</t>
  </si>
  <si>
    <t>ORD-100073</t>
  </si>
  <si>
    <t>CUST-0411</t>
  </si>
  <si>
    <t>PRD-0062</t>
  </si>
  <si>
    <t>ORD-100074</t>
  </si>
  <si>
    <t>CUST-0120</t>
  </si>
  <si>
    <t>PRD-0011</t>
  </si>
  <si>
    <t>ORD-100075</t>
  </si>
  <si>
    <t>CUST-0061</t>
  </si>
  <si>
    <t>ORD-100076</t>
  </si>
  <si>
    <t>CUST-0055</t>
  </si>
  <si>
    <t>PRD-0020</t>
  </si>
  <si>
    <t>ORD-100077</t>
  </si>
  <si>
    <t>CUST-0204</t>
  </si>
  <si>
    <t>PRD-0027</t>
  </si>
  <si>
    <t>ORD-100078</t>
  </si>
  <si>
    <t>CUST-0158</t>
  </si>
  <si>
    <t>ORD-100079</t>
  </si>
  <si>
    <t>CUST-0229</t>
  </si>
  <si>
    <t>ORD-100080</t>
  </si>
  <si>
    <t>CUST-0326</t>
  </si>
  <si>
    <t>PRD-0001</t>
  </si>
  <si>
    <t>ORD-100081</t>
  </si>
  <si>
    <t>CUST-0041</t>
  </si>
  <si>
    <t>ORD-100082</t>
  </si>
  <si>
    <t>CUST-0420</t>
  </si>
  <si>
    <t>ORD-100083</t>
  </si>
  <si>
    <t>ORD-100084</t>
  </si>
  <si>
    <t>CUST-0336</t>
  </si>
  <si>
    <t>ORD-100085</t>
  </si>
  <si>
    <t>CUST-0103</t>
  </si>
  <si>
    <t>ORD-100086</t>
  </si>
  <si>
    <t>CUST-0418</t>
  </si>
  <si>
    <t>ORD-100087</t>
  </si>
  <si>
    <t>CUST-0260</t>
  </si>
  <si>
    <t>ORD-100088</t>
  </si>
  <si>
    <t>CUST-0132</t>
  </si>
  <si>
    <t>PRD-0069</t>
  </si>
  <si>
    <t>ORD-100089</t>
  </si>
  <si>
    <t>CUST-0388</t>
  </si>
  <si>
    <t>ORD-100090</t>
  </si>
  <si>
    <t>CUST-0133</t>
  </si>
  <si>
    <t>PRD-0009</t>
  </si>
  <si>
    <t>ORD-100091</t>
  </si>
  <si>
    <t>ORD-100092</t>
  </si>
  <si>
    <t>PRD-0061</t>
  </si>
  <si>
    <t>EMP-011</t>
  </si>
  <si>
    <t>ORD-100093</t>
  </si>
  <si>
    <t>PRD-0031</t>
  </si>
  <si>
    <t>ORD-100094</t>
  </si>
  <si>
    <t>ORD-100095</t>
  </si>
  <si>
    <t>CUST-0392</t>
  </si>
  <si>
    <t>ORD-100096</t>
  </si>
  <si>
    <t>ORD-100097</t>
  </si>
  <si>
    <t>CUST-0277</t>
  </si>
  <si>
    <t>ORD-100098</t>
  </si>
  <si>
    <t>CUST-0236</t>
  </si>
  <si>
    <t>ORD-100099</t>
  </si>
  <si>
    <t>ORD-100100</t>
  </si>
  <si>
    <t>CUST-0256</t>
  </si>
  <si>
    <t>PRD-0055</t>
  </si>
  <si>
    <t>ORD-100101</t>
  </si>
  <si>
    <t>CUST-0093</t>
  </si>
  <si>
    <t>ORD-100102</t>
  </si>
  <si>
    <t>CUST-0101</t>
  </si>
  <si>
    <t>ORD-100103</t>
  </si>
  <si>
    <t>CUST-0323</t>
  </si>
  <si>
    <t>ORD-100104</t>
  </si>
  <si>
    <t>CUST-0354</t>
  </si>
  <si>
    <t>ORD-100105</t>
  </si>
  <si>
    <t>CUST-0172</t>
  </si>
  <si>
    <t>ORD-100106</t>
  </si>
  <si>
    <t>CUST-0348</t>
  </si>
  <si>
    <t>ORD-100107</t>
  </si>
  <si>
    <t>ORD-100108</t>
  </si>
  <si>
    <t>ORD-100109</t>
  </si>
  <si>
    <t>CUST-0150</t>
  </si>
  <si>
    <t>PRD-0035</t>
  </si>
  <si>
    <t>ORD-100110</t>
  </si>
  <si>
    <t>ORD-100111</t>
  </si>
  <si>
    <t>CUST-0381</t>
  </si>
  <si>
    <t>ORD-100112</t>
  </si>
  <si>
    <t>CUST-0014</t>
  </si>
  <si>
    <t>PRD-0051</t>
  </si>
  <si>
    <t>ORD-100113</t>
  </si>
  <si>
    <t>PRD-0040</t>
  </si>
  <si>
    <t>ORD-100114</t>
  </si>
  <si>
    <t>CUST-0088</t>
  </si>
  <si>
    <t>ORD-100115</t>
  </si>
  <si>
    <t>CUST-0070</t>
  </si>
  <si>
    <t>ORD-100116</t>
  </si>
  <si>
    <t>CUST-0247</t>
  </si>
  <si>
    <t>ORD-100117</t>
  </si>
  <si>
    <t>CUST-0006</t>
  </si>
  <si>
    <t>ORD-100118</t>
  </si>
  <si>
    <t>CUST-0252</t>
  </si>
  <si>
    <t>ORD-100119</t>
  </si>
  <si>
    <t>CUST-0097</t>
  </si>
  <si>
    <t>ORD-100120</t>
  </si>
  <si>
    <t>CUST-0113</t>
  </si>
  <si>
    <t>ORD-100121</t>
  </si>
  <si>
    <t>ORD-100122</t>
  </si>
  <si>
    <t>ORD-100123</t>
  </si>
  <si>
    <t>CUST-0274</t>
  </si>
  <si>
    <t>ORD-100124</t>
  </si>
  <si>
    <t>ORD-100125</t>
  </si>
  <si>
    <t>ORD-100126</t>
  </si>
  <si>
    <t>CUST-0398</t>
  </si>
  <si>
    <t>ORD-100127</t>
  </si>
  <si>
    <t>CUST-0007</t>
  </si>
  <si>
    <t>ORD-100128</t>
  </si>
  <si>
    <t>CUST-0377</t>
  </si>
  <si>
    <t>ORD-100129</t>
  </si>
  <si>
    <t>PRD-0006</t>
  </si>
  <si>
    <t>ORD-100130</t>
  </si>
  <si>
    <t>CUST-0027</t>
  </si>
  <si>
    <t>ORD-100131</t>
  </si>
  <si>
    <t>ORD-100132</t>
  </si>
  <si>
    <t>CUST-0080</t>
  </si>
  <si>
    <t>ORD-100133</t>
  </si>
  <si>
    <t>CUST-0389</t>
  </si>
  <si>
    <t>ORD-100134</t>
  </si>
  <si>
    <t>ORD-100135</t>
  </si>
  <si>
    <t>CUST-0069</t>
  </si>
  <si>
    <t>ORD-100136</t>
  </si>
  <si>
    <t>CUST-0096</t>
  </si>
  <si>
    <t>ORD-100137</t>
  </si>
  <si>
    <t>ORD-100138</t>
  </si>
  <si>
    <t>CUST-0010</t>
  </si>
  <si>
    <t>ORD-100139</t>
  </si>
  <si>
    <t>PRD-0064</t>
  </si>
  <si>
    <t>ORD-100140</t>
  </si>
  <si>
    <t>ORD-100141</t>
  </si>
  <si>
    <t>CUST-0017</t>
  </si>
  <si>
    <t>ORD-100142</t>
  </si>
  <si>
    <t>ORD-100143</t>
  </si>
  <si>
    <t>CUST-0328</t>
  </si>
  <si>
    <t>ORD-100144</t>
  </si>
  <si>
    <t>CUST-0376</t>
  </si>
  <si>
    <t>ORD-100145</t>
  </si>
  <si>
    <t>CUST-0098</t>
  </si>
  <si>
    <t>ORD-100146</t>
  </si>
  <si>
    <t>CUST-0393</t>
  </si>
  <si>
    <t>ORD-100147</t>
  </si>
  <si>
    <t>CUST-0282</t>
  </si>
  <si>
    <t>PRD-0052</t>
  </si>
  <si>
    <t>ORD-100148</t>
  </si>
  <si>
    <t>CUST-0162</t>
  </si>
  <si>
    <t>ORD-100149</t>
  </si>
  <si>
    <t>CUST-0289</t>
  </si>
  <si>
    <t>ORD-100150</t>
  </si>
  <si>
    <t>PRD-X149</t>
  </si>
  <si>
    <t>ORD-100151</t>
  </si>
  <si>
    <t>ORD-100152</t>
  </si>
  <si>
    <t>ORD-100153</t>
  </si>
  <si>
    <t>CUST-0416</t>
  </si>
  <si>
    <t>PRD-0039</t>
  </si>
  <si>
    <t>ORD-100154</t>
  </si>
  <si>
    <t>ORD-100155</t>
  </si>
  <si>
    <t>CUST-0029</t>
  </si>
  <si>
    <t>ORD-100156</t>
  </si>
  <si>
    <t>CUST-0309</t>
  </si>
  <si>
    <t>ORD-100157</t>
  </si>
  <si>
    <t>CUST-0077</t>
  </si>
  <si>
    <t>ORD-100158</t>
  </si>
  <si>
    <t>ORD-100159</t>
  </si>
  <si>
    <t>CUST-0173</t>
  </si>
  <si>
    <t>ORD-100160</t>
  </si>
  <si>
    <t>ORD-100161</t>
  </si>
  <si>
    <t>PRD-0068</t>
  </si>
  <si>
    <t>ORD-100162</t>
  </si>
  <si>
    <t>ORD-100163</t>
  </si>
  <si>
    <t>ORD-100164</t>
  </si>
  <si>
    <t>CUST-0226</t>
  </si>
  <si>
    <t>ORD-100165</t>
  </si>
  <si>
    <t>PRD-0032</t>
  </si>
  <si>
    <t>ORD-100166</t>
  </si>
  <si>
    <t>CUST-0242</t>
  </si>
  <si>
    <t>ORD-100167</t>
  </si>
  <si>
    <t>CUST-0319</t>
  </si>
  <si>
    <t>ORD-100168</t>
  </si>
  <si>
    <t>CUST-0405</t>
  </si>
  <si>
    <t>ORD-100169</t>
  </si>
  <si>
    <t>CUST-0338</t>
  </si>
  <si>
    <t>ORD-100170</t>
  </si>
  <si>
    <t>CUST-0364</t>
  </si>
  <si>
    <t>ORD-100171</t>
  </si>
  <si>
    <t>CUST-0365</t>
  </si>
  <si>
    <t>ORD-100172</t>
  </si>
  <si>
    <t>ORD-100173</t>
  </si>
  <si>
    <t>ORD-100174</t>
  </si>
  <si>
    <t>ORD-100175</t>
  </si>
  <si>
    <t>CUST-0160</t>
  </si>
  <si>
    <t>ORD-100176</t>
  </si>
  <si>
    <t>CUST-0351</t>
  </si>
  <si>
    <t>PRD-0026</t>
  </si>
  <si>
    <t>ORD-100177</t>
  </si>
  <si>
    <t>CUST-0290</t>
  </si>
  <si>
    <t>ORD-100178</t>
  </si>
  <si>
    <t>ORD-100179</t>
  </si>
  <si>
    <t>ORD-100180</t>
  </si>
  <si>
    <t>CUST-0119</t>
  </si>
  <si>
    <t>ORD-100181</t>
  </si>
  <si>
    <t>CUST-0192</t>
  </si>
  <si>
    <t>PRD-0024</t>
  </si>
  <si>
    <t>ORD-100182</t>
  </si>
  <si>
    <t>ORD-100183</t>
  </si>
  <si>
    <t>ORD-100184</t>
  </si>
  <si>
    <t>CUST-0195</t>
  </si>
  <si>
    <t>ORD-100185</t>
  </si>
  <si>
    <t>CUST-0022</t>
  </si>
  <si>
    <t>ORD-100186</t>
  </si>
  <si>
    <t>ORD-100187</t>
  </si>
  <si>
    <t>CUST-0073</t>
  </si>
  <si>
    <t>PRD-0060</t>
  </si>
  <si>
    <t>ORD-100188</t>
  </si>
  <si>
    <t>CUST-0166</t>
  </si>
  <si>
    <t>ORD-100189</t>
  </si>
  <si>
    <t>CUST-0355</t>
  </si>
  <si>
    <t>ORD-100190</t>
  </si>
  <si>
    <t>CUST-0363</t>
  </si>
  <si>
    <t>PRD-0050</t>
  </si>
  <si>
    <t>ORD-100191</t>
  </si>
  <si>
    <t>ORD-100192</t>
  </si>
  <si>
    <t>CUST-0159</t>
  </si>
  <si>
    <t>ORD-100193</t>
  </si>
  <si>
    <t>ORD-100194</t>
  </si>
  <si>
    <t>CUST-0302</t>
  </si>
  <si>
    <t>ORD-100195</t>
  </si>
  <si>
    <t>ORD-100196</t>
  </si>
  <si>
    <t>ORD-100197</t>
  </si>
  <si>
    <t>CUST-0083</t>
  </si>
  <si>
    <t>ORD-100198</t>
  </si>
  <si>
    <t>ORD-100199</t>
  </si>
  <si>
    <t>CUST-0141</t>
  </si>
  <si>
    <t>ORD-100200</t>
  </si>
  <si>
    <t>CUST-0374</t>
  </si>
  <si>
    <t>ORD-100201</t>
  </si>
  <si>
    <t>ORD-100202</t>
  </si>
  <si>
    <t>ORD-100203</t>
  </si>
  <si>
    <t>ORD-100204</t>
  </si>
  <si>
    <t>CUST-0104</t>
  </si>
  <si>
    <t>ORD-100205</t>
  </si>
  <si>
    <t>CUST-0059</t>
  </si>
  <si>
    <t>ORD-100206</t>
  </si>
  <si>
    <t>CUST-0174</t>
  </si>
  <si>
    <t>ORD-100207</t>
  </si>
  <si>
    <t>CUST-0275</t>
  </si>
  <si>
    <t>ORD-100208</t>
  </si>
  <si>
    <t>ORD-100209</t>
  </si>
  <si>
    <t>ORD-100210</t>
  </si>
  <si>
    <t>CUST-0060</t>
  </si>
  <si>
    <t>ORD-100211</t>
  </si>
  <si>
    <t>CUST-0122</t>
  </si>
  <si>
    <t>ORD-100212</t>
  </si>
  <si>
    <t>CUST-0399</t>
  </si>
  <si>
    <t>ORD-100213</t>
  </si>
  <si>
    <t>CUST-0248</t>
  </si>
  <si>
    <t>ORD-100214</t>
  </si>
  <si>
    <t>CUST-0019</t>
  </si>
  <si>
    <t>ORD-100215</t>
  </si>
  <si>
    <t>CUST-0305</t>
  </si>
  <si>
    <t>ORD-100216</t>
  </si>
  <si>
    <t>ORD-100217</t>
  </si>
  <si>
    <t>CUST-0396</t>
  </si>
  <si>
    <t>PRD-0057</t>
  </si>
  <si>
    <t>ORD-100218</t>
  </si>
  <si>
    <t>PRD-0072</t>
  </si>
  <si>
    <t>ORD-100219</t>
  </si>
  <si>
    <t>CUST-0361</t>
  </si>
  <si>
    <t>ORD-100220</t>
  </si>
  <si>
    <t>CUST-0026</t>
  </si>
  <si>
    <t>ORD-100221</t>
  </si>
  <si>
    <t>CUST-0201</t>
  </si>
  <si>
    <t>ORD-100222</t>
  </si>
  <si>
    <t>CUST-0344</t>
  </si>
  <si>
    <t>ORD-100223</t>
  </si>
  <si>
    <t>ORD-100224</t>
  </si>
  <si>
    <t>ORD-100225</t>
  </si>
  <si>
    <t>CUST-0180</t>
  </si>
  <si>
    <t>ORD-100226</t>
  </si>
  <si>
    <t>CUST-0208</t>
  </si>
  <si>
    <t>ORD-100227</t>
  </si>
  <si>
    <t>CUST-0125</t>
  </si>
  <si>
    <t>ORD-100228</t>
  </si>
  <si>
    <t>CUST-0223</t>
  </si>
  <si>
    <t>ORD-100229</t>
  </si>
  <si>
    <t>ORD-100230</t>
  </si>
  <si>
    <t>ORD-100231</t>
  </si>
  <si>
    <t>CUST-0419</t>
  </si>
  <si>
    <t>ORD-100232</t>
  </si>
  <si>
    <t>CUST-0296</t>
  </si>
  <si>
    <t>ORD-100233</t>
  </si>
  <si>
    <t>ORD-100234</t>
  </si>
  <si>
    <t>PRD-0007</t>
  </si>
  <si>
    <t>ORD-100235</t>
  </si>
  <si>
    <t>CUST-0303</t>
  </si>
  <si>
    <t>ORD-100236</t>
  </si>
  <si>
    <t>CUST-0340</t>
  </si>
  <si>
    <t>ORD-100237</t>
  </si>
  <si>
    <t>CUST-0079</t>
  </si>
  <si>
    <t>ORD-100238</t>
  </si>
  <si>
    <t>ORD-100239</t>
  </si>
  <si>
    <t>CUST-0233</t>
  </si>
  <si>
    <t>ORD-100240</t>
  </si>
  <si>
    <t>ORD-100241</t>
  </si>
  <si>
    <t>CUST-0020</t>
  </si>
  <si>
    <t>ORD-100242</t>
  </si>
  <si>
    <t>CUST-0375</t>
  </si>
  <si>
    <t>ORD-100243</t>
  </si>
  <si>
    <t>ORD-100244</t>
  </si>
  <si>
    <t>CUST-0263</t>
  </si>
  <si>
    <t>ORD-100245</t>
  </si>
  <si>
    <t>ORD-100246</t>
  </si>
  <si>
    <t>CUST-0294</t>
  </si>
  <si>
    <t>ORD-100247</t>
  </si>
  <si>
    <t>CUST-0040</t>
  </si>
  <si>
    <t>ORD-100248</t>
  </si>
  <si>
    <t>CUST-0058</t>
  </si>
  <si>
    <t>ORD-100249</t>
  </si>
  <si>
    <t>CUST-0359</t>
  </si>
  <si>
    <t>ORD-100250</t>
  </si>
  <si>
    <t>ORD-100251</t>
  </si>
  <si>
    <t>ORD-100252</t>
  </si>
  <si>
    <t>CUST-0244</t>
  </si>
  <si>
    <t>ORD-100253</t>
  </si>
  <si>
    <t>ORD-100254</t>
  </si>
  <si>
    <t>ORD-100255</t>
  </si>
  <si>
    <t>ORD-100256</t>
  </si>
  <si>
    <t>ORD-100257</t>
  </si>
  <si>
    <t>CUST-0372</t>
  </si>
  <si>
    <t>ORD-100258</t>
  </si>
  <si>
    <t>ORD-100259</t>
  </si>
  <si>
    <t>ORD-100260</t>
  </si>
  <si>
    <t>CUST-0039</t>
  </si>
  <si>
    <t>ORD-100261</t>
  </si>
  <si>
    <t>CUST-0032</t>
  </si>
  <si>
    <t>ORD-100262</t>
  </si>
  <si>
    <t>CUST-0036</t>
  </si>
  <si>
    <t>ORD-100263</t>
  </si>
  <si>
    <t>ORD-100264</t>
  </si>
  <si>
    <t>ORD-100265</t>
  </si>
  <si>
    <t>ORD-100266</t>
  </si>
  <si>
    <t>CUST-0002</t>
  </si>
  <si>
    <t>ORD-100267</t>
  </si>
  <si>
    <t>CUST-0324</t>
  </si>
  <si>
    <t>ORD-100268</t>
  </si>
  <si>
    <t>CUST-0091</t>
  </si>
  <si>
    <t>ORD-100269</t>
  </si>
  <si>
    <t>ORD-100270</t>
  </si>
  <si>
    <t>CUST-0013</t>
  </si>
  <si>
    <t>ORD-100271</t>
  </si>
  <si>
    <t>ORD-100272</t>
  </si>
  <si>
    <t>ORD-100273</t>
  </si>
  <si>
    <t>CUST-0251</t>
  </si>
  <si>
    <t>ORD-100274</t>
  </si>
  <si>
    <t>CUST-0407</t>
  </si>
  <si>
    <t>ORD-100275</t>
  </si>
  <si>
    <t>ORD-100276</t>
  </si>
  <si>
    <t>ORD-100277</t>
  </si>
  <si>
    <t>CUST-0062</t>
  </si>
  <si>
    <t>ORD-100278</t>
  </si>
  <si>
    <t>CUST-0298</t>
  </si>
  <si>
    <t>ORD-100279</t>
  </si>
  <si>
    <t>CUST-0042</t>
  </si>
  <si>
    <t>ORD-100280</t>
  </si>
  <si>
    <t>CUST-0106</t>
  </si>
  <si>
    <t>ORD-100281</t>
  </si>
  <si>
    <t>ORD-100282</t>
  </si>
  <si>
    <t>CUST-0003</t>
  </si>
  <si>
    <t>ORD-100283</t>
  </si>
  <si>
    <t>ORD-100284</t>
  </si>
  <si>
    <t>ORD-100285</t>
  </si>
  <si>
    <t>ORD-100286</t>
  </si>
  <si>
    <t>CUST-0015</t>
  </si>
  <si>
    <t>ORD-100287</t>
  </si>
  <si>
    <t>CUST-0383</t>
  </si>
  <si>
    <t>ORD-100288</t>
  </si>
  <si>
    <t>CUST-0193</t>
  </si>
  <si>
    <t>PRD-0029</t>
  </si>
  <si>
    <t>ORD-100289</t>
  </si>
  <si>
    <t>CUST-0313</t>
  </si>
  <si>
    <t>ORD-100290</t>
  </si>
  <si>
    <t>CUST-0139</t>
  </si>
  <si>
    <t>ORD-100291</t>
  </si>
  <si>
    <t>CUST-0235</t>
  </si>
  <si>
    <t>ORD-100292</t>
  </si>
  <si>
    <t>CUST-0284</t>
  </si>
  <si>
    <t>ORD-100293</t>
  </si>
  <si>
    <t>CUST-0237</t>
  </si>
  <si>
    <t>ORD-100294</t>
  </si>
  <si>
    <t>ORD-100295</t>
  </si>
  <si>
    <t>ORD-100296</t>
  </si>
  <si>
    <t>CUST-0124</t>
  </si>
  <si>
    <t>ORD-100297</t>
  </si>
  <si>
    <t>CUST-0123</t>
  </si>
  <si>
    <t>ORD-100298</t>
  </si>
  <si>
    <t>ORD-100299</t>
  </si>
  <si>
    <t>CUST-0190</t>
  </si>
  <si>
    <t>ORD-100300</t>
  </si>
  <si>
    <t>CUST-0152</t>
  </si>
  <si>
    <t>ORD-100301</t>
  </si>
  <si>
    <t>ORD-100302</t>
  </si>
  <si>
    <t>CUST-0188</t>
  </si>
  <si>
    <t>ORD-100303</t>
  </si>
  <si>
    <t>ORD-100304</t>
  </si>
  <si>
    <t>CUST-0217</t>
  </si>
  <si>
    <t>ORD-100305</t>
  </si>
  <si>
    <t>ORD-100306</t>
  </si>
  <si>
    <t>ORD-100307</t>
  </si>
  <si>
    <t>CUST-0142</t>
  </si>
  <si>
    <t>PRD-0015</t>
  </si>
  <si>
    <t>ORD-100308</t>
  </si>
  <si>
    <t>ORD-100309</t>
  </si>
  <si>
    <t>ORD-100310</t>
  </si>
  <si>
    <t>ORD-100311</t>
  </si>
  <si>
    <t>CUST-0157</t>
  </si>
  <si>
    <t>ORD-100312</t>
  </si>
  <si>
    <t>CUST-0146</t>
  </si>
  <si>
    <t>ORD-100313</t>
  </si>
  <si>
    <t>ORD-100314</t>
  </si>
  <si>
    <t>ORD-100315</t>
  </si>
  <si>
    <t>ORD-100316</t>
  </si>
  <si>
    <t>ORD-100317</t>
  </si>
  <si>
    <t>CUST-0149</t>
  </si>
  <si>
    <t>ORD-100318</t>
  </si>
  <si>
    <t>CUST-0021</t>
  </si>
  <si>
    <t>ORD-100319</t>
  </si>
  <si>
    <t>CUST-0048</t>
  </si>
  <si>
    <t>ORD-100320</t>
  </si>
  <si>
    <t>ORD-100321</t>
  </si>
  <si>
    <t>CUST-0262</t>
  </si>
  <si>
    <t>ORD-100322</t>
  </si>
  <si>
    <t>CUST-0191</t>
  </si>
  <si>
    <t>ORD-100323</t>
  </si>
  <si>
    <t>CUST-0228</t>
  </si>
  <si>
    <t>ORD-100324</t>
  </si>
  <si>
    <t>CUST-0301</t>
  </si>
  <si>
    <t>ORD-100325</t>
  </si>
  <si>
    <t>ORD-100326</t>
  </si>
  <si>
    <t>CUST-0387</t>
  </si>
  <si>
    <t>ORD-100327</t>
  </si>
  <si>
    <t>CUST-0155</t>
  </si>
  <si>
    <t>ORD-100328</t>
  </si>
  <si>
    <t>CUST-0154</t>
  </si>
  <si>
    <t>ORD-100329</t>
  </si>
  <si>
    <t>ORD-100330</t>
  </si>
  <si>
    <t>CUST-0322</t>
  </si>
  <si>
    <t>ORD-100331</t>
  </si>
  <si>
    <t>CUST-0075</t>
  </si>
  <si>
    <t>ORD-100332</t>
  </si>
  <si>
    <t>ORD-100333</t>
  </si>
  <si>
    <t>CUST-0307</t>
  </si>
  <si>
    <t>ORD-100334</t>
  </si>
  <si>
    <t>CUST-0297</t>
  </si>
  <si>
    <t>ORD-100335</t>
  </si>
  <si>
    <t>CUST-0084</t>
  </si>
  <si>
    <t>ORD-100336</t>
  </si>
  <si>
    <t>ORD-100337</t>
  </si>
  <si>
    <t>CUST-0227</t>
  </si>
  <si>
    <t>ORD-100338</t>
  </si>
  <si>
    <t>CUST-0356</t>
  </si>
  <si>
    <t>ORD-100339</t>
  </si>
  <si>
    <t>CUST-0391</t>
  </si>
  <si>
    <t>ORD-100340</t>
  </si>
  <si>
    <t>ORD-100341</t>
  </si>
  <si>
    <t>CUST-0342</t>
  </si>
  <si>
    <t>ORD-100342</t>
  </si>
  <si>
    <t>ORD-100343</t>
  </si>
  <si>
    <t>CUST-0257</t>
  </si>
  <si>
    <t>ORD-100344</t>
  </si>
  <si>
    <t>CUST-0367</t>
  </si>
  <si>
    <t>ORD-100345</t>
  </si>
  <si>
    <t>ORD-100346</t>
  </si>
  <si>
    <t>ORD-100347</t>
  </si>
  <si>
    <t>CUST-0057</t>
  </si>
  <si>
    <t>ORD-100348</t>
  </si>
  <si>
    <t>CUST-0253</t>
  </si>
  <si>
    <t>ORD-100349</t>
  </si>
  <si>
    <t>CUST-0209</t>
  </si>
  <si>
    <t>ORD-100350</t>
  </si>
  <si>
    <t>CUST-0346</t>
  </si>
  <si>
    <t>ORD-100351</t>
  </si>
  <si>
    <t>CUST-0203</t>
  </si>
  <si>
    <t>ORD-100352</t>
  </si>
  <si>
    <t>ORD-100353</t>
  </si>
  <si>
    <t>ORD-100354</t>
  </si>
  <si>
    <t>ORD-100355</t>
  </si>
  <si>
    <t>CUST-0378</t>
  </si>
  <si>
    <t>ORD-100356</t>
  </si>
  <si>
    <t>CUST-0168</t>
  </si>
  <si>
    <t>ORD-100357</t>
  </si>
  <si>
    <t>CUST-0255</t>
  </si>
  <si>
    <t>ORD-100358</t>
  </si>
  <si>
    <t>ORD-100359</t>
  </si>
  <si>
    <t>ORD-100360</t>
  </si>
  <si>
    <t>ORD-100361</t>
  </si>
  <si>
    <t>CUST-0081</t>
  </si>
  <si>
    <t>ORD-100362</t>
  </si>
  <si>
    <t>CUST-0181</t>
  </si>
  <si>
    <t>ORD-100363</t>
  </si>
  <si>
    <t>CUST-0380</t>
  </si>
  <si>
    <t>ORD-100364</t>
  </si>
  <si>
    <t>ORD-100365</t>
  </si>
  <si>
    <t>ORD-100366</t>
  </si>
  <si>
    <t>CUST-0216</t>
  </si>
  <si>
    <t>ORD-100367</t>
  </si>
  <si>
    <t>ORD-100368</t>
  </si>
  <si>
    <t>ORD-100369</t>
  </si>
  <si>
    <t>CUST-0025</t>
  </si>
  <si>
    <t>ORD-100370</t>
  </si>
  <si>
    <t>CUST-0140</t>
  </si>
  <si>
    <t>ORD-100371</t>
  </si>
  <si>
    <t>ORD-100372</t>
  </si>
  <si>
    <t>CUST-0264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</si>
  <si>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</si>
  <si>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</si>
  <si>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</si>
  <si>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</si>
  <si>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</si>
  <si>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</si>
  <si>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</si>
  <si>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CUST-0153</t>
  </si>
  <si>
    <t>ORD-100380</t>
  </si>
  <si>
    <t>CUST-0293</t>
  </si>
  <si>
    <t>ORD-100381</t>
  </si>
  <si>
    <t>CUST-0063</t>
  </si>
  <si>
    <t>ORD-100382</t>
  </si>
  <si>
    <t>CUST-0090</t>
  </si>
  <si>
    <t>ORD-100383</t>
  </si>
  <si>
    <t>ORD-100384</t>
  </si>
  <si>
    <t>ORD-100385</t>
  </si>
  <si>
    <t>CUST-0404</t>
  </si>
  <si>
    <t>ORD-100386</t>
  </si>
  <si>
    <t>ORD-100387</t>
  </si>
  <si>
    <t>ORD-100388</t>
  </si>
  <si>
    <t>CUST-0400</t>
  </si>
  <si>
    <t>ORD-100389</t>
  </si>
  <si>
    <t>CUST-0358</t>
  </si>
  <si>
    <t>ORD-100390</t>
  </si>
  <si>
    <t>ORD-100391</t>
  </si>
  <si>
    <t>ORD-100392</t>
  </si>
  <si>
    <t>CUST-0352</t>
  </si>
  <si>
    <t>ORD-100393</t>
  </si>
  <si>
    <t>CUST-0102</t>
  </si>
  <si>
    <t>ORD-100394</t>
  </si>
  <si>
    <t>CUST-0012</t>
  </si>
  <si>
    <t>ORD-100395</t>
  </si>
  <si>
    <t>CUST-0317</t>
  </si>
  <si>
    <t>ORD-100396</t>
  </si>
  <si>
    <t>ORD-100397</t>
  </si>
  <si>
    <t>CUST-0366</t>
  </si>
  <si>
    <t>ORD-100398</t>
  </si>
  <si>
    <t>CUST-0308</t>
  </si>
  <si>
    <t>ORD-100399</t>
  </si>
  <si>
    <t>CUST-0135</t>
  </si>
  <si>
    <t>ORD-100400</t>
  </si>
  <si>
    <t>CUST-X399</t>
  </si>
  <si>
    <t>ORD-100401</t>
  </si>
  <si>
    <t>ORD-100402</t>
  </si>
  <si>
    <t>CUST-0311</t>
  </si>
  <si>
    <t>ORD-100403</t>
  </si>
  <si>
    <t>ORD-100404</t>
  </si>
  <si>
    <t>CUST-0240</t>
  </si>
  <si>
    <t>ORD-100405</t>
  </si>
  <si>
    <t>CUST-0066</t>
  </si>
  <si>
    <t>ORD-100406</t>
  </si>
  <si>
    <t>CUST-0390</t>
  </si>
  <si>
    <t>ORD-100407</t>
  </si>
  <si>
    <t>CUST-0078</t>
  </si>
  <si>
    <t>ORD-100408</t>
  </si>
  <si>
    <t>CUST-0241</t>
  </si>
  <si>
    <t>ORD-100409</t>
  </si>
  <si>
    <t>ORD-100410</t>
  </si>
  <si>
    <t>ORD-100411</t>
  </si>
  <si>
    <t>ORD-100412</t>
  </si>
  <si>
    <t>CUST-0169</t>
  </si>
  <si>
    <t>ORD-100413</t>
  </si>
  <si>
    <t>ORD-100414</t>
  </si>
  <si>
    <t>ORD-100415</t>
  </si>
  <si>
    <t>CUST-0145</t>
  </si>
  <si>
    <t>ORD-100416</t>
  </si>
  <si>
    <t>CUST-0395</t>
  </si>
  <si>
    <t>ORD-100417</t>
  </si>
  <si>
    <t>ORD-100418</t>
  </si>
  <si>
    <t>ORD-100419</t>
  </si>
  <si>
    <t>ORD-100420</t>
  </si>
  <si>
    <t>ORD-100421</t>
  </si>
  <si>
    <t>CUST-0270</t>
  </si>
  <si>
    <t>ORD-100422</t>
  </si>
  <si>
    <t>ORD-100423</t>
  </si>
  <si>
    <t>ORD-100424</t>
  </si>
  <si>
    <t>ORD-100425</t>
  </si>
  <si>
    <t>CUST-0094</t>
  </si>
  <si>
    <t>ORD-100426</t>
  </si>
  <si>
    <t>ORD-100427</t>
  </si>
  <si>
    <t>ORD-100428</t>
  </si>
  <si>
    <t>ORD-100429</t>
  </si>
  <si>
    <t>CUST-0045</t>
  </si>
  <si>
    <t>ORD-100430</t>
  </si>
  <si>
    <t>CUST-0108</t>
  </si>
  <si>
    <t>ORD-100431</t>
  </si>
  <si>
    <t>ORD-100432</t>
  </si>
  <si>
    <t>ORD-100433</t>
  </si>
  <si>
    <t>CUST-0005</t>
  </si>
  <si>
    <t>ORD-100434</t>
  </si>
  <si>
    <t>CUST-0205</t>
  </si>
  <si>
    <t>ORD-100435</t>
  </si>
  <si>
    <t>ORD-100436</t>
  </si>
  <si>
    <t>CUST-0224</t>
  </si>
  <si>
    <t>ORD-100437</t>
  </si>
  <si>
    <t>ORD-100438</t>
  </si>
  <si>
    <t>ORD-100439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</si>
  <si>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</si>
  <si>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</si>
  <si>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</si>
  <si>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</si>
  <si>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</si>
  <si>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</si>
  <si>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</si>
  <si>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CUST-0051</t>
  </si>
  <si>
    <t>ORD-100447</t>
  </si>
  <si>
    <t>ORD-100448</t>
  </si>
  <si>
    <t>ORD-100449</t>
  </si>
  <si>
    <t>ORD-100450</t>
  </si>
  <si>
    <t>ORD-100451</t>
  </si>
  <si>
    <t>CUST-0202</t>
  </si>
  <si>
    <t>ORD-100452</t>
  </si>
  <si>
    <t>CUST-0349</t>
  </si>
  <si>
    <t>ORD-100453</t>
  </si>
  <si>
    <t>ORD-100454</t>
  </si>
  <si>
    <t>ORD-100455</t>
  </si>
  <si>
    <t>ORD-100456</t>
  </si>
  <si>
    <t>ORD-100457</t>
  </si>
  <si>
    <t>ORD-100458</t>
  </si>
  <si>
    <t>CUST-0121</t>
  </si>
  <si>
    <t>ORD-100459</t>
  </si>
  <si>
    <t>ORD-100460</t>
  </si>
  <si>
    <t>ORD-100461</t>
  </si>
  <si>
    <t>ORD-100462</t>
  </si>
  <si>
    <t>ORD-100463</t>
  </si>
  <si>
    <t>CUST-0067</t>
  </si>
  <si>
    <t>ORD-100464</t>
  </si>
  <si>
    <t>CUST-0287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</si>
  <si>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</si>
  <si>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</si>
  <si>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</si>
  <si>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</si>
  <si>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</si>
  <si>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</si>
  <si>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</si>
  <si>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</si>
  <si>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</si>
  <si>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</si>
  <si>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</si>
  <si>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CUST-0047</t>
  </si>
  <si>
    <t>ORD-100476</t>
  </si>
  <si>
    <t>ORD-100477</t>
  </si>
  <si>
    <t>CUST-0164</t>
  </si>
  <si>
    <t>ORD-100478</t>
  </si>
  <si>
    <t>ORD-100479</t>
  </si>
  <si>
    <t>CUST-0238</t>
  </si>
  <si>
    <t>ORD-100480</t>
  </si>
  <si>
    <t>ORD-100481</t>
  </si>
  <si>
    <t>ORD-100482</t>
  </si>
  <si>
    <t>ORD-100483</t>
  </si>
  <si>
    <t>ORD-100484</t>
  </si>
  <si>
    <t>ORD-100485</t>
  </si>
  <si>
    <t>CUST-0072</t>
  </si>
  <si>
    <t>ORD-100486</t>
  </si>
  <si>
    <t>ORD-100487</t>
  </si>
  <si>
    <t>ORD-100488</t>
  </si>
  <si>
    <t>ORD-100489</t>
  </si>
  <si>
    <t>ORD-100490</t>
  </si>
  <si>
    <t>CUST-0394</t>
  </si>
  <si>
    <t>ORD-100491</t>
  </si>
  <si>
    <t>ORD-100492</t>
  </si>
  <si>
    <t>ORD-100493</t>
  </si>
  <si>
    <t>CUST-0327</t>
  </si>
  <si>
    <t>ORD-100494</t>
  </si>
  <si>
    <t>ORD-100495</t>
  </si>
  <si>
    <t>CUST-0292</t>
  </si>
  <si>
    <t>ORD-100496</t>
  </si>
  <si>
    <t>ORD-100497</t>
  </si>
  <si>
    <t>ORD-100498</t>
  </si>
  <si>
    <t>ORD-100499</t>
  </si>
  <si>
    <t>CUST-0414</t>
  </si>
  <si>
    <t>ORD-100500</t>
  </si>
  <si>
    <t>ORD-100501</t>
  </si>
  <si>
    <t>ORD-100502</t>
  </si>
  <si>
    <t>CUST-0171</t>
  </si>
  <si>
    <t>ORD-100503</t>
  </si>
  <si>
    <t>CUST-0044</t>
  </si>
  <si>
    <t>ORD-100504</t>
  </si>
  <si>
    <t>ORD-100505</t>
  </si>
  <si>
    <t>CUST-0196</t>
  </si>
  <si>
    <t>ORD-100506</t>
  </si>
  <si>
    <t>CUST-0318</t>
  </si>
  <si>
    <t>ORD-100507</t>
  </si>
  <si>
    <t>ORD-100508</t>
  </si>
  <si>
    <t>ORD-100509</t>
  </si>
  <si>
    <t>CUST-0031</t>
  </si>
  <si>
    <t>ORD-100510</t>
  </si>
  <si>
    <t>ORD-100511</t>
  </si>
  <si>
    <t>ORD-100512</t>
  </si>
  <si>
    <t>CUST-0175</t>
  </si>
  <si>
    <t>ORD-100513</t>
  </si>
  <si>
    <t>ORD-100514</t>
  </si>
  <si>
    <t>ORD-100515</t>
  </si>
  <si>
    <t>ORD-100516</t>
  </si>
  <si>
    <t>CUST-0004</t>
  </si>
  <si>
    <t>ORD-100517</t>
  </si>
  <si>
    <t>CUST-0100</t>
  </si>
  <si>
    <t>ORD-100518</t>
  </si>
  <si>
    <t>ORD-100519</t>
  </si>
  <si>
    <t>CUST-0011</t>
  </si>
  <si>
    <t>ORD-100520</t>
  </si>
  <si>
    <t>ORD-100521</t>
  </si>
  <si>
    <t>CUST-0099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</si>
  <si>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</si>
  <si>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</si>
  <si>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</si>
  <si>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</si>
  <si>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</si>
  <si>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</si>
  <si>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</si>
  <si>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</si>
  <si>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CUST-0239</t>
  </si>
  <si>
    <t>ORD-100530</t>
  </si>
  <si>
    <t>ORD-100531</t>
  </si>
  <si>
    <t>CUST-0184</t>
  </si>
  <si>
    <t>ORD-100532</t>
  </si>
  <si>
    <t>CUST-0037</t>
  </si>
  <si>
    <t>ORD-100533</t>
  </si>
  <si>
    <t>ORD-100534</t>
  </si>
  <si>
    <t>CUST-0178</t>
  </si>
  <si>
    <t>ORD-100535</t>
  </si>
  <si>
    <t>ORD-100536</t>
  </si>
  <si>
    <t>ORD-100537</t>
  </si>
  <si>
    <t>CUST-0016</t>
  </si>
  <si>
    <t>ORD-100538</t>
  </si>
  <si>
    <t>CUST-0215</t>
  </si>
  <si>
    <t>ORD-100539</t>
  </si>
  <si>
    <t>ORD-100540</t>
  </si>
  <si>
    <t>ORD-100541</t>
  </si>
  <si>
    <t>CUST-0156</t>
  </si>
  <si>
    <t>ORD-100542</t>
  </si>
  <si>
    <t>ORD-100543</t>
  </si>
  <si>
    <t>CUST-0189</t>
  </si>
  <si>
    <t>ORD-100544</t>
  </si>
  <si>
    <t>ORD-100545</t>
  </si>
  <si>
    <t>ORD-100546</t>
  </si>
  <si>
    <t>ORD-100547</t>
  </si>
  <si>
    <t>ORD-100548</t>
  </si>
  <si>
    <t>CUST-0415</t>
  </si>
  <si>
    <t>ORD-100549</t>
  </si>
  <si>
    <t>CUST-0049</t>
  </si>
  <si>
    <t>ORD-100550</t>
  </si>
  <si>
    <t>CUST-0035</t>
  </si>
  <si>
    <t>ORD-100551</t>
  </si>
  <si>
    <t>ORD-100552</t>
  </si>
  <si>
    <t>ORD-100553</t>
  </si>
  <si>
    <t>CUST-0129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</si>
  <si>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</si>
  <si>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</si>
  <si>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</si>
  <si>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</si>
  <si>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</si>
  <si>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</si>
  <si>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</si>
  <si>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</si>
  <si>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</si>
  <si>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</si>
  <si>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</si>
  <si>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</si>
  <si>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CUST-0053</t>
  </si>
  <si>
    <t>ORD-100566</t>
  </si>
  <si>
    <t>ORD-100567</t>
  </si>
  <si>
    <t>ORD-100568</t>
  </si>
  <si>
    <t>CUST-0316</t>
  </si>
  <si>
    <t>ORD-100569</t>
  </si>
  <si>
    <t>ORD-100570</t>
  </si>
  <si>
    <t>ORD-100571</t>
  </si>
  <si>
    <t>ORD-100572</t>
  </si>
  <si>
    <t>CUST-0341</t>
  </si>
  <si>
    <t>ORD-100573</t>
  </si>
  <si>
    <t>ORD-100574</t>
  </si>
  <si>
    <t>CUST-0065</t>
  </si>
  <si>
    <t>ORD-100575</t>
  </si>
  <si>
    <t>CUST-0370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</si>
  <si>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</si>
  <si>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</si>
  <si>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</si>
  <si>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</si>
  <si>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</si>
  <si>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</si>
  <si>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</si>
  <si>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CUST-0064</t>
  </si>
  <si>
    <t>ORD-100583</t>
  </si>
  <si>
    <t>ORD-100584</t>
  </si>
  <si>
    <t>CUST-0018</t>
  </si>
  <si>
    <t>ORD-100585</t>
  </si>
  <si>
    <t>ORD-100586</t>
  </si>
  <si>
    <t>ORD-100587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</si>
  <si>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</si>
  <si>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</si>
  <si>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</si>
  <si>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</si>
  <si>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</si>
  <si>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</si>
  <si>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</si>
  <si>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</si>
  <si>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</si>
  <si>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</si>
  <si>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CUST-0030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</si>
  <si>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</si>
  <si>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</si>
  <si>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</si>
  <si>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</si>
  <si>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</si>
  <si>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</si>
  <si>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</si>
  <si>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</si>
  <si>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</si>
  <si>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</si>
  <si>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</si>
  <si>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CUST-0046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</si>
  <si>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</si>
  <si>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</si>
  <si>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</si>
  <si>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</si>
  <si>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</si>
  <si>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</si>
  <si>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</si>
  <si>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</si>
  <si>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</si>
  <si>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</si>
  <si>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</si>
  <si>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</si>
  <si>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</si>
  <si>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</si>
  <si>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</si>
  <si>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</si>
  <si>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</si>
  <si>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CUST-0382</t>
  </si>
  <si>
    <t>ORD-100626</t>
  </si>
  <si>
    <t>ORD-100627</t>
  </si>
  <si>
    <t>ORD-100628</t>
  </si>
  <si>
    <t>ORD-100629</t>
  </si>
  <si>
    <t>ORD-100630</t>
  </si>
  <si>
    <t>ORD-100631</t>
  </si>
  <si>
    <t>CUST-0024</t>
  </si>
  <si>
    <t>ORD-100632</t>
  </si>
  <si>
    <t>ORD-100633</t>
  </si>
  <si>
    <t>CUST-0111</t>
  </si>
  <si>
    <t>ORD-100634</t>
  </si>
  <si>
    <t>CUST-0131</t>
  </si>
  <si>
    <t>ORD-100635</t>
  </si>
  <si>
    <t>ORD-100636</t>
  </si>
  <si>
    <t>ORD-100637</t>
  </si>
  <si>
    <t>CUST-0310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</si>
  <si>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</si>
  <si>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</si>
  <si>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</si>
  <si>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</si>
  <si>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</si>
  <si>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</si>
  <si>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</si>
  <si>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</si>
  <si>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</si>
  <si>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</si>
  <si>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</si>
  <si>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</si>
  <si>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CUST-0379</t>
  </si>
  <si>
    <t>ORD-100650</t>
  </si>
  <si>
    <t>ORD-100651</t>
  </si>
  <si>
    <t>ORD-100652</t>
  </si>
  <si>
    <t>CUST-0110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</si>
  <si>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</si>
  <si>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</si>
  <si>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</si>
  <si>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</si>
  <si>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</si>
  <si>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</si>
  <si>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</si>
  <si>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CUST-0246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</si>
  <si>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</si>
  <si>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</si>
  <si>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</si>
  <si>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</si>
  <si>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</si>
  <si>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</si>
  <si>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</si>
  <si>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CUST-0269</t>
  </si>
  <si>
    <t>ORD-100667</t>
  </si>
  <si>
    <t>ORD-100668</t>
  </si>
  <si>
    <t>CUST-0127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</si>
  <si>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</si>
  <si>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</si>
  <si>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</si>
  <si>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</si>
  <si>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</si>
  <si>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</si>
  <si>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</si>
  <si>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</si>
  <si>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</si>
  <si>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</si>
  <si>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</si>
  <si>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</si>
  <si>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CUST-0138</t>
  </si>
  <si>
    <t>ORD-100681</t>
  </si>
  <si>
    <t>ORD-100682</t>
  </si>
  <si>
    <t>CUST-0001</t>
  </si>
  <si>
    <t>ORD-100683</t>
  </si>
  <si>
    <t>CUST-0210</t>
  </si>
  <si>
    <t>ORD-100684</t>
  </si>
  <si>
    <t>CUST-0144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</si>
  <si>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</si>
  <si>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</si>
  <si>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</si>
  <si>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</si>
  <si>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</si>
  <si>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</si>
  <si>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</si>
  <si>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</si>
  <si>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</si>
  <si>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</si>
  <si>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</si>
  <si>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CUST-0147</t>
  </si>
  <si>
    <t>ORD-100696</t>
  </si>
  <si>
    <t>ORD-100697</t>
  </si>
  <si>
    <t>ORD-100698</t>
  </si>
  <si>
    <t>ORD-100699</t>
  </si>
  <si>
    <t>CUST-0136</t>
  </si>
  <si>
    <t>ORD-100700</t>
  </si>
  <si>
    <t>ORD-100701</t>
  </si>
  <si>
    <t>ORD-100702</t>
  </si>
  <si>
    <t>ORD-100703</t>
  </si>
  <si>
    <t>ORD-100704</t>
  </si>
  <si>
    <t>ORD-100705</t>
  </si>
  <si>
    <t>CUST-0243</t>
  </si>
  <si>
    <t>ORD-100706</t>
  </si>
  <si>
    <t>CUST-0074</t>
  </si>
  <si>
    <t>ORD-100707</t>
  </si>
  <si>
    <t>CUST-0357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</si>
  <si>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</si>
  <si>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</si>
  <si>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</si>
  <si>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</si>
  <si>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</si>
  <si>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</si>
  <si>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</si>
  <si>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</si>
  <si>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</si>
  <si>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</si>
  <si>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</si>
  <si>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</si>
  <si>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</si>
  <si>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CUST-0360</t>
  </si>
  <si>
    <t>ORD-100721</t>
  </si>
  <si>
    <t>ORD-100722</t>
  </si>
  <si>
    <t>ORD-100723</t>
  </si>
  <si>
    <t>ORD-100724</t>
  </si>
  <si>
    <t>CUST-0320</t>
  </si>
  <si>
    <t>ORD-100725</t>
  </si>
  <si>
    <t>CUST-0291</t>
  </si>
  <si>
    <t>ORD-100726</t>
  </si>
  <si>
    <t>ORD-100727</t>
  </si>
  <si>
    <t>ORD-100728</t>
  </si>
  <si>
    <t>ORD-100729</t>
  </si>
  <si>
    <t>ORD-100730</t>
  </si>
  <si>
    <t>ORD-100731</t>
  </si>
  <si>
    <t>CUST-0054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</si>
  <si>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</si>
  <si>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</si>
  <si>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</si>
  <si>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</si>
  <si>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</si>
  <si>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</si>
  <si>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</si>
  <si>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</si>
  <si>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CUST-0179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</si>
  <si>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</si>
  <si>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</si>
  <si>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</si>
  <si>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</si>
  <si>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</si>
  <si>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</si>
  <si>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</si>
  <si>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</si>
  <si>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</si>
  <si>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</si>
  <si>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</si>
  <si>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</si>
  <si>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</si>
  <si>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</si>
  <si>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</si>
  <si>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</si>
  <si>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</si>
  <si>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</si>
  <si>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</si>
  <si>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</si>
  <si>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</si>
  <si>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</si>
  <si>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</si>
  <si>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</si>
  <si>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</si>
  <si>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</si>
  <si>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</si>
  <si>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</si>
  <si>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</si>
  <si>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</si>
  <si>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</si>
  <si>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</si>
  <si>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</si>
  <si>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</si>
  <si>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</si>
  <si>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</si>
  <si>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CUST-0143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</si>
  <si>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</si>
  <si>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</si>
  <si>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</si>
  <si>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</si>
  <si>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</si>
  <si>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</si>
  <si>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</si>
  <si>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</si>
  <si>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</si>
  <si>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</si>
  <si>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</si>
  <si>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CUST-0343</t>
  </si>
  <si>
    <t>ORD-100787</t>
  </si>
  <si>
    <t>ORD-100788</t>
  </si>
  <si>
    <t>ORD-100789</t>
  </si>
  <si>
    <t>ORD-100790</t>
  </si>
  <si>
    <t>ORD-100791</t>
  </si>
  <si>
    <t>CUST-0198</t>
  </si>
  <si>
    <t>ORD-100792</t>
  </si>
  <si>
    <t>ORD-100793</t>
  </si>
  <si>
    <t>ORD-100794</t>
  </si>
  <si>
    <t>ORD-100795</t>
  </si>
  <si>
    <t>ORD-100796</t>
  </si>
  <si>
    <t>ORD-100797</t>
  </si>
  <si>
    <t>CUST-0331</t>
  </si>
  <si>
    <t>ORD-100798</t>
  </si>
  <si>
    <t>ORD-100799</t>
  </si>
  <si>
    <t>ORD-100800</t>
  </si>
  <si>
    <t>CUST-0148</t>
  </si>
  <si>
    <t>PRD-X799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</si>
  <si>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</si>
  <si>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</si>
  <si>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</si>
  <si>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</si>
  <si>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</si>
  <si>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</si>
  <si>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</si>
  <si>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</si>
  <si>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</si>
  <si>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CUST-0194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</si>
  <si>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</si>
  <si>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</si>
  <si>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</si>
  <si>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</si>
  <si>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</si>
  <si>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</si>
  <si>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</si>
  <si>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</si>
  <si>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</si>
  <si>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</si>
  <si>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</si>
  <si>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</si>
  <si>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</si>
  <si>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</si>
  <si>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</si>
  <si>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CUST-0333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</si>
  <si>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</si>
  <si>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</si>
  <si>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</si>
  <si>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</si>
  <si>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</si>
  <si>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</si>
  <si>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</si>
  <si>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CUST-0052</t>
  </si>
  <si>
    <t>ORD-100832</t>
  </si>
  <si>
    <t>CUST-0417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</si>
  <si>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</si>
  <si>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</si>
  <si>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</si>
  <si>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</si>
  <si>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</si>
  <si>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</si>
  <si>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</si>
  <si>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</si>
  <si>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</si>
  <si>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</si>
  <si>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</si>
  <si>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</si>
  <si>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</si>
  <si>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CUST-0107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</si>
  <si>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</si>
  <si>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</si>
  <si>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</si>
  <si>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</si>
  <si>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</si>
  <si>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</si>
  <si>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</si>
  <si>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</si>
  <si>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</si>
  <si>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CUST-0117</t>
  </si>
  <si>
    <t>ORD-100855</t>
  </si>
  <si>
    <t>ORD-100856</t>
  </si>
  <si>
    <t>ORD-100857</t>
  </si>
  <si>
    <t>ORD-100858</t>
  </si>
  <si>
    <t>CUST-0128</t>
  </si>
  <si>
    <t>ORD-100859</t>
  </si>
  <si>
    <t>ORD-100860</t>
  </si>
  <si>
    <t>ORD-100861</t>
  </si>
  <si>
    <t>ORD-100862</t>
  </si>
  <si>
    <t>ORD-100863</t>
  </si>
  <si>
    <t>CUST-0105</t>
  </si>
  <si>
    <t>ORD-100864</t>
  </si>
  <si>
    <t>ORD-100865</t>
  </si>
  <si>
    <t>ORD-100866</t>
  </si>
  <si>
    <t>ORD-100867</t>
  </si>
  <si>
    <t>CUST-0339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</si>
  <si>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</si>
  <si>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</si>
  <si>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</si>
  <si>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</si>
  <si>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</si>
  <si>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</si>
  <si>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</si>
  <si>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</si>
  <si>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</si>
  <si>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</si>
  <si>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</si>
  <si>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</si>
  <si>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</si>
  <si>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CUST-0219</t>
  </si>
  <si>
    <t>ORD-100881</t>
  </si>
  <si>
    <t>ORD-100882</t>
  </si>
  <si>
    <t>ORD-100883</t>
  </si>
  <si>
    <t>ORD-100884</t>
  </si>
  <si>
    <t>ORD-100885</t>
  </si>
  <si>
    <t>CUST-0151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</si>
  <si>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</si>
  <si>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</si>
  <si>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</si>
  <si>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</si>
  <si>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</si>
  <si>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</si>
  <si>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</si>
  <si>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</si>
  <si>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</si>
  <si>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</si>
  <si>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</si>
  <si>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</si>
  <si>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</si>
  <si>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</si>
  <si>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</si>
  <si>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</si>
  <si>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</si>
  <si>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</si>
  <si>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</si>
  <si>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</si>
  <si>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</si>
  <si>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</si>
  <si>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</si>
  <si>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</si>
  <si>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</si>
  <si>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</si>
  <si>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</si>
  <si>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</si>
  <si>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</si>
  <si>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</si>
  <si>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</si>
  <si>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</si>
  <si>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CUST-0134</t>
  </si>
  <si>
    <t>ORD-100918</t>
  </si>
  <si>
    <t>ORD-100919</t>
  </si>
  <si>
    <t>CUST-0315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</si>
  <si>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</si>
  <si>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</si>
  <si>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</si>
  <si>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</si>
  <si>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</si>
  <si>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</si>
  <si>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</si>
  <si>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</si>
  <si>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</si>
  <si>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</si>
  <si>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</si>
  <si>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</si>
  <si>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</si>
  <si>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</si>
  <si>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</si>
  <si>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CUST-0161</t>
  </si>
  <si>
    <t>ORD-100935</t>
  </si>
  <si>
    <t>ORD-100936</t>
  </si>
  <si>
    <t>ORD-100937</t>
  </si>
  <si>
    <t>ORD-100938</t>
  </si>
  <si>
    <t>CUST-0347</t>
  </si>
  <si>
    <t>ORD-100939</t>
  </si>
  <si>
    <t>ORD-100940</t>
  </si>
  <si>
    <t>ORD-100941</t>
  </si>
  <si>
    <t>ORD-100942</t>
  </si>
  <si>
    <t>CUST-0170</t>
  </si>
  <si>
    <t>ORD-100943</t>
  </si>
  <si>
    <t>CUST-0008</t>
  </si>
  <si>
    <t>ORD-100944</t>
  </si>
  <si>
    <t>CUST-0288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</si>
  <si>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</si>
  <si>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</si>
  <si>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</si>
  <si>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</si>
  <si>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</si>
  <si>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</si>
  <si>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</si>
  <si>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</si>
  <si>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</si>
  <si>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</si>
  <si>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</si>
  <si>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</si>
  <si>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</si>
  <si>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</si>
  <si>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</si>
  <si>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</si>
  <si>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</si>
  <si>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</si>
  <si>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</si>
  <si>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</si>
  <si>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</si>
  <si>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CUST-0371</t>
  </si>
  <si>
    <t>ORD-100966</t>
  </si>
  <si>
    <t>ORD-100967</t>
  </si>
  <si>
    <t>ORD-100968</t>
  </si>
  <si>
    <t>CUST-0329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</si>
  <si>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</si>
  <si>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</si>
  <si>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</si>
  <si>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</si>
  <si>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</si>
  <si>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</si>
  <si>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</si>
  <si>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</si>
  <si>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</si>
  <si>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</si>
  <si>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</si>
  <si>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</si>
  <si>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</si>
  <si>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</si>
  <si>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CUST-0050</t>
  </si>
  <si>
    <t>ORD-100983</t>
  </si>
  <si>
    <t>ORD-100984</t>
  </si>
  <si>
    <t>CUST-0312</t>
  </si>
  <si>
    <t>ORD-100985</t>
  </si>
  <si>
    <t>CUST-0385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</si>
  <si>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</si>
  <si>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</si>
  <si>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</si>
  <si>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</si>
  <si>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</si>
  <si>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</si>
  <si>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</si>
  <si>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</si>
  <si>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</si>
  <si>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</si>
  <si>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</si>
  <si>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</si>
  <si>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</si>
  <si>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</si>
  <si>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</si>
  <si>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</si>
  <si>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</si>
  <si>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</si>
  <si>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</si>
  <si>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</si>
  <si>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</si>
  <si>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</si>
  <si>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</si>
  <si>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</si>
  <si>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</si>
  <si>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</si>
  <si>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CUST-0068</t>
  </si>
  <si>
    <t>ORD-101012</t>
  </si>
  <si>
    <t>ORD-101013</t>
  </si>
  <si>
    <t>ORD-101014</t>
  </si>
  <si>
    <t>ORD-101015</t>
  </si>
  <si>
    <t>ORD-101016</t>
  </si>
  <si>
    <t>ORD-101017</t>
  </si>
  <si>
    <t>CUST-0071</t>
  </si>
  <si>
    <t>ORD-101018</t>
  </si>
  <si>
    <t>CUST-0086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</si>
  <si>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</si>
  <si>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</si>
  <si>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</si>
  <si>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</si>
  <si>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</si>
  <si>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</si>
  <si>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</si>
  <si>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</si>
  <si>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</si>
  <si>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</si>
  <si>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</si>
  <si>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</si>
  <si>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</si>
  <si>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</si>
  <si>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</si>
  <si>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</si>
  <si>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</si>
  <si>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</si>
  <si>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</si>
  <si>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</si>
  <si>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</si>
  <si>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</si>
  <si>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</si>
  <si>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</si>
  <si>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</si>
  <si>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</si>
  <si>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</si>
  <si>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</si>
  <si>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</si>
  <si>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</si>
  <si>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</si>
  <si>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</si>
  <si>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</si>
  <si>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</si>
  <si>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</si>
  <si>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</si>
  <si>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</si>
  <si>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CUST-0207</t>
  </si>
  <si>
    <t>ORD-101056</t>
  </si>
  <si>
    <t>ORD-101057</t>
  </si>
  <si>
    <t>CUST-0167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</si>
  <si>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</si>
  <si>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</si>
  <si>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</si>
  <si>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</si>
  <si>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</si>
  <si>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</si>
  <si>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</si>
  <si>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CUST-0186</t>
  </si>
  <si>
    <t>ORD-101065</t>
  </si>
  <si>
    <t>CUST-0413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</si>
  <si>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</si>
  <si>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</si>
  <si>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</si>
  <si>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</si>
  <si>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</si>
  <si>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</si>
  <si>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</si>
  <si>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</si>
  <si>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</si>
  <si>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CUST-0118</t>
  </si>
  <si>
    <t>ORD-101075</t>
  </si>
  <si>
    <t>CUST-0112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</si>
  <si>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</si>
  <si>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</si>
  <si>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</si>
  <si>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</si>
  <si>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</si>
  <si>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</si>
  <si>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</si>
  <si>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</si>
  <si>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</si>
  <si>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</si>
  <si>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</si>
  <si>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</si>
  <si>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</si>
  <si>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</si>
  <si>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</si>
  <si>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</si>
  <si>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</si>
  <si>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</si>
  <si>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</si>
  <si>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</si>
  <si>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</si>
  <si>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</si>
  <si>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</si>
  <si>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</si>
  <si>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</si>
  <si>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</si>
  <si>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</si>
  <si>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</si>
  <si>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</si>
  <si>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</si>
  <si>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</si>
  <si>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</si>
  <si>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</si>
  <si>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</si>
  <si>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</si>
  <si>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</si>
  <si>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</si>
  <si>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</si>
  <si>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</si>
  <si>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</si>
  <si>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</si>
  <si>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</si>
  <si>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</si>
  <si>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</si>
  <si>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</si>
  <si>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</si>
  <si>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</si>
  <si>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</si>
  <si>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</si>
  <si>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</si>
  <si>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</si>
  <si>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</si>
  <si>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</si>
  <si>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</si>
  <si>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</si>
  <si>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</si>
  <si>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</si>
  <si>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</si>
  <si>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CUST-0199</t>
  </si>
  <si>
    <t>ORD-101134</t>
  </si>
  <si>
    <t>ORD-101135</t>
  </si>
  <si>
    <t>ORD-101136</t>
  </si>
  <si>
    <t>ORD-101137</t>
  </si>
  <si>
    <t>ORD-101138</t>
  </si>
  <si>
    <t>CUST-0245</t>
  </si>
  <si>
    <t>ORD-101139</t>
  </si>
  <si>
    <t>ORD-101140</t>
  </si>
  <si>
    <t>ORD-101141</t>
  </si>
  <si>
    <t>ORD-101142</t>
  </si>
  <si>
    <t>CUST-0272</t>
  </si>
  <si>
    <t>ORD-101143</t>
  </si>
  <si>
    <t>ORD-101144</t>
  </si>
  <si>
    <t>ORD-101145</t>
  </si>
  <si>
    <t>ORD-101146</t>
  </si>
  <si>
    <t>ORD-101147</t>
  </si>
  <si>
    <t>ORD-101148</t>
  </si>
  <si>
    <t>CUST-0271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</si>
  <si>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</si>
  <si>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</si>
  <si>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</si>
  <si>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</si>
  <si>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</si>
  <si>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</si>
  <si>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</si>
  <si>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</si>
  <si>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</si>
  <si>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</si>
  <si>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</si>
  <si>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</si>
  <si>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</si>
  <si>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</si>
  <si>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</si>
  <si>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</si>
  <si>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</si>
  <si>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</si>
  <si>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</si>
  <si>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</si>
  <si>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</si>
  <si>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</si>
  <si>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CUST-0266</t>
  </si>
  <si>
    <t>ORD-101171</t>
  </si>
  <si>
    <t>ORD-101172</t>
  </si>
  <si>
    <t>ORD-101173</t>
  </si>
  <si>
    <t>ORD-101174</t>
  </si>
  <si>
    <t>ORD-101175</t>
  </si>
  <si>
    <t>ORD-101176</t>
  </si>
  <si>
    <t>CUST-0163</t>
  </si>
  <si>
    <t>ORD-101177</t>
  </si>
  <si>
    <t>CUST-0165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</si>
  <si>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</si>
  <si>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</si>
  <si>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</si>
  <si>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</si>
  <si>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</si>
  <si>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</si>
  <si>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</si>
  <si>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</si>
  <si>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</si>
  <si>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</si>
  <si>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</si>
  <si>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</si>
  <si>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</si>
  <si>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</si>
  <si>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</si>
  <si>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</si>
  <si>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</si>
  <si>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</si>
  <si>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</si>
  <si>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</si>
  <si>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</si>
  <si>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</si>
  <si>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</si>
  <si>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CUST-X1199</t>
  </si>
  <si>
    <t>ORD-101201</t>
  </si>
  <si>
    <t>ORD-101202</t>
  </si>
  <si>
    <t>ORD-101203</t>
  </si>
  <si>
    <t>ORD-101204</t>
  </si>
  <si>
    <t>ORD-101205</t>
  </si>
  <si>
    <t>CUST-0137</t>
  </si>
  <si>
    <t>ORD-101206</t>
  </si>
  <si>
    <t>ORD-101207</t>
  </si>
  <si>
    <t>ORD-101208</t>
  </si>
  <si>
    <t>ORD-101209</t>
  </si>
  <si>
    <t>ORD-101210</t>
  </si>
  <si>
    <t>ORD-101211</t>
  </si>
  <si>
    <t>CUST-0254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</si>
  <si>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</si>
  <si>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</si>
  <si>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</si>
  <si>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</si>
  <si>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</si>
  <si>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</si>
  <si>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</si>
  <si>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</si>
  <si>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</si>
  <si>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</si>
  <si>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</si>
  <si>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</si>
  <si>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</si>
  <si>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</si>
  <si>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</si>
  <si>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</si>
  <si>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</si>
  <si>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</si>
  <si>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</si>
  <si>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</si>
  <si>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</si>
  <si>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</si>
  <si>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</si>
  <si>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</si>
  <si>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</si>
  <si>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</si>
  <si>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</si>
  <si>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</si>
  <si>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</si>
  <si>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CUST-0009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</si>
  <si>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</si>
  <si>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</si>
  <si>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</si>
  <si>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</si>
  <si>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</si>
  <si>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</si>
  <si>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</si>
  <si>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</si>
  <si>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</si>
  <si>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</si>
  <si>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</si>
  <si>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</si>
  <si>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</si>
  <si>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</si>
  <si>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</si>
  <si>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</si>
  <si>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</si>
  <si>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</si>
  <si>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</si>
  <si>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</si>
  <si>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</si>
  <si>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CUST-0214</t>
  </si>
  <si>
    <t>ORD-101262</t>
  </si>
  <si>
    <t>ORD-101263</t>
  </si>
  <si>
    <t>ORD-101264</t>
  </si>
  <si>
    <t>ORD-101265</t>
  </si>
  <si>
    <t>ORD-101266</t>
  </si>
  <si>
    <t>CUST-0369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</si>
  <si>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</si>
  <si>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</si>
  <si>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</si>
  <si>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</si>
  <si>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</si>
  <si>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</si>
  <si>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</si>
  <si>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</si>
  <si>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</si>
  <si>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</si>
  <si>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</si>
  <si>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</si>
  <si>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</si>
  <si>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CUST-0232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</si>
  <si>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</si>
  <si>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</si>
  <si>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</si>
  <si>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</si>
  <si>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</si>
  <si>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</si>
  <si>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</si>
  <si>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</si>
  <si>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</si>
  <si>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</si>
  <si>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</si>
  <si>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</si>
  <si>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</si>
  <si>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</si>
  <si>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</si>
  <si>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</si>
  <si>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</si>
  <si>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</si>
  <si>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</si>
  <si>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</si>
  <si>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</si>
  <si>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</si>
  <si>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</si>
  <si>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</si>
  <si>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</si>
  <si>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</si>
  <si>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</si>
  <si>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</si>
  <si>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</si>
  <si>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</si>
  <si>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</si>
  <si>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</si>
  <si>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</si>
  <si>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CUST-0325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</si>
  <si>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</si>
  <si>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</si>
  <si>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</si>
  <si>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</si>
  <si>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</si>
  <si>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</si>
  <si>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</si>
  <si>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</si>
  <si>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</si>
  <si>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</si>
  <si>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</si>
  <si>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</si>
  <si>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</si>
  <si>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</si>
  <si>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</si>
  <si>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</si>
  <si>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</si>
  <si>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</si>
  <si>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</si>
  <si>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CUST-0087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</si>
  <si>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</si>
  <si>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</si>
  <si>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</si>
  <si>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</si>
  <si>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</si>
  <si>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</si>
  <si>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</si>
  <si>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</si>
  <si>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</si>
  <si>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</si>
  <si>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</si>
  <si>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</si>
  <si>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</si>
  <si>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</si>
  <si>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</si>
  <si>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</si>
  <si>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</si>
  <si>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</si>
  <si>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</si>
  <si>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</si>
  <si>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</si>
  <si>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</si>
  <si>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</si>
  <si>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</si>
  <si>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</si>
  <si>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</si>
  <si>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</si>
  <si>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</si>
  <si>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</si>
  <si>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</si>
  <si>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</si>
  <si>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</si>
  <si>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</si>
  <si>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</si>
  <si>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</si>
  <si>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</si>
  <si>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</si>
  <si>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</si>
  <si>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</si>
  <si>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</si>
  <si>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CUST-0304</t>
  </si>
  <si>
    <t>ORD-101372</t>
  </si>
  <si>
    <t>ORD-101373</t>
  </si>
  <si>
    <t>ORD-101374</t>
  </si>
  <si>
    <t>CUST-0362</t>
  </si>
  <si>
    <t>ORD-101375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</si>
  <si>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</si>
  <si>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</si>
  <si>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</si>
  <si>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</si>
  <si>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</si>
  <si>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</si>
  <si>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</si>
  <si>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</si>
  <si>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</si>
  <si>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</si>
  <si>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</si>
  <si>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</si>
  <si>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</si>
  <si>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</si>
  <si>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</si>
  <si>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</si>
  <si>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</si>
  <si>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</si>
  <si>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</si>
  <si>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</si>
  <si>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CUST-0034</t>
  </si>
  <si>
    <t>ORD-101396</t>
  </si>
  <si>
    <t>ORD-101397</t>
  </si>
  <si>
    <t>ORD-101398</t>
  </si>
  <si>
    <t>ORD-101399</t>
  </si>
  <si>
    <t>ORD-101400</t>
  </si>
  <si>
    <t>PRD-X1399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</si>
  <si>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</si>
  <si>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</si>
  <si>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</si>
  <si>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</si>
  <si>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</si>
  <si>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</si>
  <si>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</si>
  <si>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</si>
  <si>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</si>
  <si>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</si>
  <si>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</si>
  <si>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</si>
  <si>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</si>
  <si>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</si>
  <si>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</si>
  <si>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</si>
  <si>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</si>
  <si>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</si>
  <si>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</si>
  <si>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</si>
  <si>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</si>
  <si>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</si>
  <si>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</si>
  <si>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</si>
  <si>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</si>
  <si>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</si>
  <si>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</si>
  <si>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</si>
  <si>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</si>
  <si>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</si>
  <si>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</si>
  <si>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</si>
  <si>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</si>
  <si>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</si>
  <si>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</si>
  <si>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</si>
  <si>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</si>
  <si>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</si>
  <si>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</si>
  <si>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</si>
  <si>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</si>
  <si>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</si>
  <si>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</si>
  <si>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</si>
  <si>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CUST-0116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</si>
  <si>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</si>
  <si>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</si>
  <si>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</si>
  <si>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</si>
  <si>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</si>
  <si>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</si>
  <si>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</si>
  <si>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</si>
  <si>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</si>
  <si>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</si>
  <si>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</si>
  <si>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</si>
  <si>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</si>
  <si>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</si>
  <si>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CUST-0276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</si>
  <si>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</si>
  <si>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</si>
  <si>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</si>
  <si>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</si>
  <si>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</si>
  <si>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</si>
  <si>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</si>
  <si>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</si>
  <si>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</si>
  <si>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</si>
  <si>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</si>
  <si>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</si>
  <si>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</si>
  <si>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</si>
  <si>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</si>
  <si>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</si>
  <si>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</si>
  <si>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</si>
  <si>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</si>
  <si>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</si>
  <si>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</si>
  <si>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</si>
  <si>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</si>
  <si>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</si>
  <si>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</si>
  <si>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</si>
  <si>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</si>
  <si>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</si>
  <si>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</si>
  <si>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</si>
  <si>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</si>
  <si>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</si>
  <si>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</si>
  <si>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</si>
  <si>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</si>
  <si>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</si>
  <si>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</si>
  <si>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</si>
  <si>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</si>
  <si>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</si>
  <si>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</si>
  <si>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</si>
  <si>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</si>
  <si>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</si>
  <si>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</si>
  <si>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</si>
  <si>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</si>
  <si>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</si>
  <si>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</si>
  <si>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</si>
  <si>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</si>
  <si>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</si>
  <si>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ORD-101511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</si>
  <si>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</si>
  <si>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</si>
  <si>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</si>
  <si>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</si>
  <si>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</si>
  <si>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</si>
  <si>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</si>
  <si>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</si>
  <si>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</si>
  <si>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</si>
  <si>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ORD-101522</t>
  </si>
  <si>
    <t>CUST-0409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</si>
  <si>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</si>
  <si>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</si>
  <si>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</si>
  <si>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</si>
  <si>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</si>
  <si>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</si>
  <si>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</si>
  <si>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</si>
  <si>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</si>
  <si>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</si>
  <si>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</si>
  <si>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</si>
  <si>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</si>
  <si>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</si>
  <si>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</si>
  <si>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</si>
  <si>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</si>
  <si>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</si>
  <si>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</si>
  <si>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</si>
  <si>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</si>
  <si>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</si>
  <si>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</si>
  <si>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</si>
  <si>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CUST-0279</t>
  </si>
  <si>
    <t>ORD-101547</t>
  </si>
  <si>
    <t>ORD-101548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</si>
  <si>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</si>
  <si>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</si>
  <si>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</si>
  <si>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</si>
  <si>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</si>
  <si>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</si>
  <si>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</si>
  <si>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</si>
  <si>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</si>
  <si>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</si>
  <si>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</si>
  <si>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</si>
  <si>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</si>
  <si>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</si>
  <si>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</si>
  <si>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</si>
  <si>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ORD-101565</t>
  </si>
  <si>
    <t>ORD-101566</t>
  </si>
  <si>
    <t>CUST-0182</t>
  </si>
  <si>
    <t>ORD-101567</t>
  </si>
  <si>
    <t>ORD-101568</t>
  </si>
  <si>
    <t>ORD-101569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</si>
  <si>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</si>
  <si>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</si>
  <si>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</si>
  <si>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</si>
  <si>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</si>
  <si>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</si>
  <si>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</si>
  <si>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</si>
  <si>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</si>
  <si>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</si>
  <si>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</si>
  <si>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</si>
  <si>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</si>
  <si>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</si>
  <si>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</si>
  <si>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</si>
  <si>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</si>
  <si>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</si>
  <si>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</si>
  <si>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</si>
  <si>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</si>
  <si>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</si>
  <si>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</si>
  <si>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</si>
  <si>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</si>
  <si>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</si>
  <si>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</si>
  <si>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</si>
  <si>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</si>
  <si>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</si>
  <si>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</si>
  <si>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Product Name</t>
  </si>
  <si>
    <t>Category</t>
  </si>
  <si>
    <t>Sub-Category</t>
  </si>
  <si>
    <t>Brand</t>
  </si>
  <si>
    <t>Unit Price</t>
  </si>
  <si>
    <t>Cost Price</t>
  </si>
  <si>
    <t>Supplier ID</t>
  </si>
  <si>
    <t>Stock Quantity</t>
  </si>
  <si>
    <t>Reorder Level</t>
  </si>
  <si>
    <t>Wireless Mouse Pro</t>
  </si>
  <si>
    <t>Electronics</t>
  </si>
  <si>
    <t>Accessories</t>
  </si>
  <si>
    <t>Logitech</t>
  </si>
  <si>
    <t>SUP-001</t>
  </si>
  <si>
    <t>Mechanical Keyboard</t>
  </si>
  <si>
    <t>Keychron</t>
  </si>
  <si>
    <t>SUP-005</t>
  </si>
  <si>
    <t>Business Laptop 14</t>
  </si>
  <si>
    <t>Computers</t>
  </si>
  <si>
    <t>Lenovo</t>
  </si>
  <si>
    <t>SUP-018</t>
  </si>
  <si>
    <t>Ultrabook 13</t>
  </si>
  <si>
    <t>Dell</t>
  </si>
  <si>
    <t>27-inch Monitor</t>
  </si>
  <si>
    <t>Displays</t>
  </si>
  <si>
    <t>Samsung</t>
  </si>
  <si>
    <t>24-inch Monitor</t>
  </si>
  <si>
    <t>LG</t>
  </si>
  <si>
    <t>USB-C Dock</t>
  </si>
  <si>
    <t>SUP-009</t>
  </si>
  <si>
    <t>Noise Cancelling Headphones</t>
  </si>
  <si>
    <t>Audio</t>
  </si>
  <si>
    <t>Sony</t>
  </si>
  <si>
    <t>SUP-006</t>
  </si>
  <si>
    <t>Webcam HD</t>
  </si>
  <si>
    <t>External SSD 1TB</t>
  </si>
  <si>
    <t>Storage</t>
  </si>
  <si>
    <t>SUP-013</t>
  </si>
  <si>
    <t>Office Chair Ergo</t>
  </si>
  <si>
    <t>Furniture</t>
  </si>
  <si>
    <t>Chairs</t>
  </si>
  <si>
    <t>GreenSoul</t>
  </si>
  <si>
    <t>Executive Chair</t>
  </si>
  <si>
    <t>Featherlite</t>
  </si>
  <si>
    <t>Standing Desk</t>
  </si>
  <si>
    <t>Desks</t>
  </si>
  <si>
    <t>IKEA</t>
  </si>
  <si>
    <t>SUP-010</t>
  </si>
  <si>
    <t>Work Desk Compact</t>
  </si>
  <si>
    <t>Godrej</t>
  </si>
  <si>
    <t>SUP-012</t>
  </si>
  <si>
    <t>Filing Cabinet</t>
  </si>
  <si>
    <t>SUP-002</t>
  </si>
  <si>
    <t>Laser Printer</t>
  </si>
  <si>
    <t>Office Equipment</t>
  </si>
  <si>
    <t>Printers</t>
  </si>
  <si>
    <t>HP</t>
  </si>
  <si>
    <t>SUP-003</t>
  </si>
  <si>
    <t>Ink Tank Printer</t>
  </si>
  <si>
    <t>Epson</t>
  </si>
  <si>
    <t>UPS 1KVA</t>
  </si>
  <si>
    <t>Power</t>
  </si>
  <si>
    <t>APC</t>
  </si>
  <si>
    <t>Wi-Fi Router AX3000</t>
  </si>
  <si>
    <t>Networking</t>
  </si>
  <si>
    <t>Routers</t>
  </si>
  <si>
    <t>TP-Link</t>
  </si>
  <si>
    <t>Managed Switch 24-Port</t>
  </si>
  <si>
    <t>Switches</t>
  </si>
  <si>
    <t>Cisco</t>
  </si>
  <si>
    <t>Wireless Mouse Pro V2</t>
  </si>
  <si>
    <t>SUP-015</t>
  </si>
  <si>
    <t>Mechanical Keyboard V2</t>
  </si>
  <si>
    <t>Business Laptop 14 V2</t>
  </si>
  <si>
    <t>Ultrabook 13 V2</t>
  </si>
  <si>
    <t>27-inch Monitor V2</t>
  </si>
  <si>
    <t>SUP-011</t>
  </si>
  <si>
    <t>24-inch Monitor V2</t>
  </si>
  <si>
    <t>USB-C Dock V2</t>
  </si>
  <si>
    <t>Noise Cancelling Headphones V2</t>
  </si>
  <si>
    <t>SUP-014</t>
  </si>
  <si>
    <t>Webcam HD V2</t>
  </si>
  <si>
    <t>External SSD 1TB V2</t>
  </si>
  <si>
    <t>Office Chair Ergo V2</t>
  </si>
  <si>
    <t>Executive Chair V2</t>
  </si>
  <si>
    <t>Standing Desk V2</t>
  </si>
  <si>
    <t>Work Desk Compact V2</t>
  </si>
  <si>
    <t>Filing Cabinet V2</t>
  </si>
  <si>
    <t>Laser Printer V2</t>
  </si>
  <si>
    <t>Ink Tank Printer V2</t>
  </si>
  <si>
    <t>UPS 1KVA V2</t>
  </si>
  <si>
    <t>Wi-Fi Router AX3000 V2</t>
  </si>
  <si>
    <t>SUP-004</t>
  </si>
  <si>
    <t>Managed Switch 24-Port V2</t>
  </si>
  <si>
    <t>SUP-017</t>
  </si>
  <si>
    <t>Wireless Mouse Pro V3</t>
  </si>
  <si>
    <t>Mechanical Keyboard V3</t>
  </si>
  <si>
    <t>Business Laptop 14 V3</t>
  </si>
  <si>
    <t>Ultrabook 13 V3</t>
  </si>
  <si>
    <t>SUP-008</t>
  </si>
  <si>
    <t>27-inch Monitor V3</t>
  </si>
  <si>
    <t>24-inch Monitor V3</t>
  </si>
  <si>
    <t>USB-C Dock V3</t>
  </si>
  <si>
    <t>SUP-016</t>
  </si>
  <si>
    <t>Noise Cancelling Headphones V3</t>
  </si>
  <si>
    <t>Webcam HD V3</t>
  </si>
  <si>
    <t>SUP-007</t>
  </si>
  <si>
    <t>External SSD 1TB V3</t>
  </si>
  <si>
    <t>Office Chair Ergo V3</t>
  </si>
  <si>
    <t>Executive Chair V3</t>
  </si>
  <si>
    <t>Standing Desk V3</t>
  </si>
  <si>
    <t>Work Desk Compact V3</t>
  </si>
  <si>
    <t>Filing Cabinet V3</t>
  </si>
  <si>
    <t>Laser Printer V3</t>
  </si>
  <si>
    <t>Ink Tank Printer V3</t>
  </si>
  <si>
    <t>UPS 1KVA V3</t>
  </si>
  <si>
    <t>Wi-Fi Router AX3000 V3</t>
  </si>
  <si>
    <t>Managed Switch 24-Port V3</t>
  </si>
  <si>
    <t>Wireless Mouse Pro V4</t>
  </si>
  <si>
    <t>Mechanical Keyboard V4</t>
  </si>
  <si>
    <t>Business Laptop 14 V4</t>
  </si>
  <si>
    <t>Ultrabook 13 V4</t>
  </si>
  <si>
    <t>27-inch Monitor V4</t>
  </si>
  <si>
    <t>24-inch Monitor V4</t>
  </si>
  <si>
    <t>USB-C Dock V4</t>
  </si>
  <si>
    <t>Noise Cancelling Headphones V4</t>
  </si>
  <si>
    <t>Webcam HD V4</t>
  </si>
  <si>
    <t>External SSD 1TB V4</t>
  </si>
  <si>
    <t>Office Chair Ergo V4</t>
  </si>
  <si>
    <t>Executive Chair V4</t>
  </si>
  <si>
    <t>Standing Desk V4</t>
  </si>
  <si>
    <t>Work Desk Compact V4</t>
  </si>
  <si>
    <t>Filing Cabinet V4</t>
  </si>
  <si>
    <t>Laser Printer V4</t>
  </si>
  <si>
    <t>Ink Tank Printer V4</t>
  </si>
  <si>
    <t>UPS 1KVA V4</t>
  </si>
  <si>
    <t>Wi-Fi Router AX3000 V4</t>
  </si>
  <si>
    <t>Managed Switch 24-Port V4</t>
  </si>
  <si>
    <t>Customer Name</t>
  </si>
  <si>
    <t>Customer Segment</t>
  </si>
  <si>
    <t>City</t>
  </si>
  <si>
    <t>State</t>
  </si>
  <si>
    <t>Region</t>
  </si>
  <si>
    <t>Registration Date</t>
  </si>
  <si>
    <t>Credit Limit</t>
  </si>
  <si>
    <t>Loyalty Tier</t>
  </si>
  <si>
    <t>Account Status</t>
  </si>
  <si>
    <t>Akash Agarwal</t>
  </si>
  <si>
    <t>Consumer</t>
  </si>
  <si>
    <t>Ahmedabad</t>
  </si>
  <si>
    <t>Gujarat</t>
  </si>
  <si>
    <t>West</t>
  </si>
  <si>
    <t>Gold</t>
  </si>
  <si>
    <t>Active</t>
  </si>
  <si>
    <t>Mohit Gupta</t>
  </si>
  <si>
    <t>Hyderabad</t>
  </si>
  <si>
    <t>Telangana</t>
  </si>
  <si>
    <t>South</t>
  </si>
  <si>
    <t>Platinum</t>
  </si>
  <si>
    <t>Meera Yadav</t>
  </si>
  <si>
    <t>Neha Rao</t>
  </si>
  <si>
    <t>SME</t>
  </si>
  <si>
    <t>Pune</t>
  </si>
  <si>
    <t>Maharashtra</t>
  </si>
  <si>
    <t>Silver</t>
  </si>
  <si>
    <t>Karan Singh</t>
  </si>
  <si>
    <t>Indore</t>
  </si>
  <si>
    <t>Madhya Pradesh</t>
  </si>
  <si>
    <t>Central</t>
  </si>
  <si>
    <t>Bronze</t>
  </si>
  <si>
    <t>Sai Yadav</t>
  </si>
  <si>
    <t>Meera Tiwari</t>
  </si>
  <si>
    <t>Bengaluru</t>
  </si>
  <si>
    <t>Karnataka</t>
  </si>
  <si>
    <t>Aarav Agarwal</t>
  </si>
  <si>
    <t>Lucknow</t>
  </si>
  <si>
    <t>Uttar Pradesh</t>
  </si>
  <si>
    <t>North</t>
  </si>
  <si>
    <t>Pooja Sharma</t>
  </si>
  <si>
    <t>Patna</t>
  </si>
  <si>
    <t>Bihar</t>
  </si>
  <si>
    <t>East</t>
  </si>
  <si>
    <t>Pooja Patel</t>
  </si>
  <si>
    <t>Nagpur</t>
  </si>
  <si>
    <t>Inactive</t>
  </si>
  <si>
    <t>Sanjay Kapoor</t>
  </si>
  <si>
    <t>Simran Patel</t>
  </si>
  <si>
    <t>Aarav Jain</t>
  </si>
  <si>
    <t>Rahul Jain</t>
  </si>
  <si>
    <t>Surat</t>
  </si>
  <si>
    <t>Kabir Malhotra</t>
  </si>
  <si>
    <t>Rahul Gupta</t>
  </si>
  <si>
    <t>Nisha Sharma</t>
  </si>
  <si>
    <t>Arjun Pandey</t>
  </si>
  <si>
    <t>Sanjay Kumar</t>
  </si>
  <si>
    <t>Kolkata</t>
  </si>
  <si>
    <t>West Bengal</t>
  </si>
  <si>
    <t>Akash Kumar</t>
  </si>
  <si>
    <t>Rohit Saxena</t>
  </si>
  <si>
    <t>Corporate</t>
  </si>
  <si>
    <t>Chandigarh</t>
  </si>
  <si>
    <t>Sai Kumar</t>
  </si>
  <si>
    <t>CUST-0023</t>
  </si>
  <si>
    <t>Karan Sinha</t>
  </si>
  <si>
    <t>Simran Agarwal</t>
  </si>
  <si>
    <t>Akash Gupta</t>
  </si>
  <si>
    <t>Akash Saxena</t>
  </si>
  <si>
    <t>Simran Gupta</t>
  </si>
  <si>
    <t>Guwahati</t>
  </si>
  <si>
    <t>Assam</t>
  </si>
  <si>
    <t>Riya Mishra</t>
  </si>
  <si>
    <t>Ankit Pandey</t>
  </si>
  <si>
    <t>Neha Patel</t>
  </si>
  <si>
    <t>Simran Chauhan</t>
  </si>
  <si>
    <t>Bhubaneswar</t>
  </si>
  <si>
    <t>Odisha</t>
  </si>
  <si>
    <t>Neha Yadav</t>
  </si>
  <si>
    <t>Rahul Malhotra</t>
  </si>
  <si>
    <t>Aditya Patel</t>
  </si>
  <si>
    <t>Priya Agarwal</t>
  </si>
  <si>
    <t>Deepak Sharma</t>
  </si>
  <si>
    <t>Ankit Sinha</t>
  </si>
  <si>
    <t>Chennai</t>
  </si>
  <si>
    <t>Tamil Nadu</t>
  </si>
  <si>
    <t>Sanjay Mishra</t>
  </si>
  <si>
    <t>Raipur</t>
  </si>
  <si>
    <t>Chhattisgarh</t>
  </si>
  <si>
    <t>Rohit Jain</t>
  </si>
  <si>
    <t>Ritika Sharma</t>
  </si>
  <si>
    <t>Riya Agarwal</t>
  </si>
  <si>
    <t>Ankit Verma</t>
  </si>
  <si>
    <t>Jaipur</t>
  </si>
  <si>
    <t>Rajasthan</t>
  </si>
  <si>
    <t>Sai Tiwari</t>
  </si>
  <si>
    <t>Ishaan Singh</t>
  </si>
  <si>
    <t>Kochi</t>
  </si>
  <si>
    <t>Kerala</t>
  </si>
  <si>
    <t>Ritika Sinha</t>
  </si>
  <si>
    <t>Arjun Saxena</t>
  </si>
  <si>
    <t>Ananya Rao</t>
  </si>
  <si>
    <t>Amit Tiwari</t>
  </si>
  <si>
    <t>Priya Jain</t>
  </si>
  <si>
    <t>Mumbai</t>
  </si>
  <si>
    <t>Neha Pandey</t>
  </si>
  <si>
    <t>Kavya Agarwal</t>
  </si>
  <si>
    <t>Delhi</t>
  </si>
  <si>
    <t>Deepak Yadav</t>
  </si>
  <si>
    <t>Pooja Mishra</t>
  </si>
  <si>
    <t>Karan Mishra</t>
  </si>
  <si>
    <t>Meera Kapoor</t>
  </si>
  <si>
    <t>Rahul Mishra</t>
  </si>
  <si>
    <t>Kabir Kumar</t>
  </si>
  <si>
    <t>Arjun Sharma</t>
  </si>
  <si>
    <t>Rahul Tiwari</t>
  </si>
  <si>
    <t>Sai Patel</t>
  </si>
  <si>
    <t>Simran Mishra</t>
  </si>
  <si>
    <t>Priya Saxena</t>
  </si>
  <si>
    <t>Shivam Kumar</t>
  </si>
  <si>
    <t>Aarav Pandey</t>
  </si>
  <si>
    <t>Deepak Malhotra</t>
  </si>
  <si>
    <t>Priya Singh</t>
  </si>
  <si>
    <t>Vivaan Jain</t>
  </si>
  <si>
    <t>Arjun Malhotra</t>
  </si>
  <si>
    <t>Neha Gupta</t>
  </si>
  <si>
    <t>Rohan Sharma</t>
  </si>
  <si>
    <t>Kavya Chauhan</t>
  </si>
  <si>
    <t>Aditya Tiwari</t>
  </si>
  <si>
    <t>Priya Tiwari</t>
  </si>
  <si>
    <t>Nisha Singh</t>
  </si>
  <si>
    <t>Pooja Pandey</t>
  </si>
  <si>
    <t>Kavya Saxena</t>
  </si>
  <si>
    <t>Rahul Pandey</t>
  </si>
  <si>
    <t>Riya Malhotra</t>
  </si>
  <si>
    <t>Vivaan Agarwal</t>
  </si>
  <si>
    <t>Kavya Verma</t>
  </si>
  <si>
    <t>Arjun Chauhan</t>
  </si>
  <si>
    <t>Vikas Agarwal</t>
  </si>
  <si>
    <t>Vikas Rao</t>
  </si>
  <si>
    <t>Rohit Gupta</t>
  </si>
  <si>
    <t>Deepak Saxena</t>
  </si>
  <si>
    <t>Priya Patel</t>
  </si>
  <si>
    <t>Aditya Sinha</t>
  </si>
  <si>
    <t>Shivam Yadav</t>
  </si>
  <si>
    <t>Akash Rao</t>
  </si>
  <si>
    <t>Rohan Sinha</t>
  </si>
  <si>
    <t>Rahul Sharma</t>
  </si>
  <si>
    <t>Amit Saxena</t>
  </si>
  <si>
    <t>Simran Yadav</t>
  </si>
  <si>
    <t>Karan Malhotra</t>
  </si>
  <si>
    <t>Rohit Pandey</t>
  </si>
  <si>
    <t>Mohit Yadav</t>
  </si>
  <si>
    <t>Bhopal</t>
  </si>
  <si>
    <t>Sneha Singh</t>
  </si>
  <si>
    <t>Akash Yadav</t>
  </si>
  <si>
    <t>Simran Rao</t>
  </si>
  <si>
    <t>Mohit Saxena</t>
  </si>
  <si>
    <t>Arjun Singh</t>
  </si>
  <si>
    <t>Vivaan Kapoor</t>
  </si>
  <si>
    <t>Pooja Kapoor</t>
  </si>
  <si>
    <t>Aditya Kumar</t>
  </si>
  <si>
    <t>Sneha Kumar</t>
  </si>
  <si>
    <t>Nisha Patel</t>
  </si>
  <si>
    <t>Pooja Yadav</t>
  </si>
  <si>
    <t>Sneha Mishra</t>
  </si>
  <si>
    <t>Meera Singh</t>
  </si>
  <si>
    <t>Neha Chauhan</t>
  </si>
  <si>
    <t>Akash Singh</t>
  </si>
  <si>
    <t>CUST-0126</t>
  </si>
  <si>
    <t>Meera Saxena</t>
  </si>
  <si>
    <t>Rohit Kumar</t>
  </si>
  <si>
    <t>Rohit Singh</t>
  </si>
  <si>
    <t>Aditya Gupta</t>
  </si>
  <si>
    <t>Pooja Verma</t>
  </si>
  <si>
    <t>Vikas Pandey</t>
  </si>
  <si>
    <t>Meera Kumar</t>
  </si>
  <si>
    <t>Ananya Singh</t>
  </si>
  <si>
    <t>Mohit Agarwal</t>
  </si>
  <si>
    <t>Rohit Sharma</t>
  </si>
  <si>
    <t>Ananya Saxena</t>
  </si>
  <si>
    <t>Priya Yadav</t>
  </si>
  <si>
    <t>Kabir Saxena</t>
  </si>
  <si>
    <t>Ritika Pandey</t>
  </si>
  <si>
    <t>Nisha Jain</t>
  </si>
  <si>
    <t>Rohit Agarwal</t>
  </si>
  <si>
    <t>Kabir Kapoor</t>
  </si>
  <si>
    <t>Ishaan Patel</t>
  </si>
  <si>
    <t>Neha Malhotra</t>
  </si>
  <si>
    <t>Sai Malhotra</t>
  </si>
  <si>
    <t>Ananya Chauhan</t>
  </si>
  <si>
    <t>Neha Kumar</t>
  </si>
  <si>
    <t>Sneha Agarwal</t>
  </si>
  <si>
    <t>Ankit Agarwal</t>
  </si>
  <si>
    <t>Pooja Sinha</t>
  </si>
  <si>
    <t>Akash Patel</t>
  </si>
  <si>
    <t>Deepak Gupta</t>
  </si>
  <si>
    <t>Aditya Pandey</t>
  </si>
  <si>
    <t>Ankit Tiwari</t>
  </si>
  <si>
    <t>Meera Rao</t>
  </si>
  <si>
    <t>Sai Sinha</t>
  </si>
  <si>
    <t>Rohit Malhotra</t>
  </si>
  <si>
    <t>Ananya Malhotra</t>
  </si>
  <si>
    <t>Amit Kumar</t>
  </si>
  <si>
    <t>Pooja Singh</t>
  </si>
  <si>
    <t>Aditya Kapoor</t>
  </si>
  <si>
    <t>Sai Verma</t>
  </si>
  <si>
    <t>Neha Sharma</t>
  </si>
  <si>
    <t>Meera Pandey</t>
  </si>
  <si>
    <t>Shivam Malhotra</t>
  </si>
  <si>
    <t>Rohan Patel</t>
  </si>
  <si>
    <t>Deepak Tiwari</t>
  </si>
  <si>
    <t>Karan Kumar</t>
  </si>
  <si>
    <t>Amit Rao</t>
  </si>
  <si>
    <t>Nisha Saxena</t>
  </si>
  <si>
    <t>Neha Verma</t>
  </si>
  <si>
    <t>Akash Malhotra</t>
  </si>
  <si>
    <t>Ritika Verma</t>
  </si>
  <si>
    <t>Ritika Patel</t>
  </si>
  <si>
    <t>CUST-0197</t>
  </si>
  <si>
    <t>Ishaan Malhotra</t>
  </si>
  <si>
    <t>Pooja Saxena</t>
  </si>
  <si>
    <t>Sneha Kapoor</t>
  </si>
  <si>
    <t>Aarav Kapoor</t>
  </si>
  <si>
    <t>Sanjay Gupta</t>
  </si>
  <si>
    <t>Amit Gupta</t>
  </si>
  <si>
    <t>Ananya Patel</t>
  </si>
  <si>
    <t>Priya Chauhan</t>
  </si>
  <si>
    <t>Nisha Mishra</t>
  </si>
  <si>
    <t>CUST-0206</t>
  </si>
  <si>
    <t>Rahul Patel</t>
  </si>
  <si>
    <t>Vivaan Sharma</t>
  </si>
  <si>
    <t>Priya Sharma</t>
  </si>
  <si>
    <t>Riya Patel</t>
  </si>
  <si>
    <t>Priya Mishra</t>
  </si>
  <si>
    <t>Ankit Jain</t>
  </si>
  <si>
    <t>Kavya Tiwari</t>
  </si>
  <si>
    <t>Karan Gupta</t>
  </si>
  <si>
    <t>Arjun Patel</t>
  </si>
  <si>
    <t>CUST-0221</t>
  </si>
  <si>
    <t>Ankit Patel</t>
  </si>
  <si>
    <t>Deepak Agarwal</t>
  </si>
  <si>
    <t>Nisha Agarwal</t>
  </si>
  <si>
    <t>Amit Chauhan</t>
  </si>
  <si>
    <t>Simran Tiwari</t>
  </si>
  <si>
    <t>Kavya Jain</t>
  </si>
  <si>
    <t>Ritika Singh</t>
  </si>
  <si>
    <t>Kabir Rao</t>
  </si>
  <si>
    <t>Ankit Saxena</t>
  </si>
  <si>
    <t>Amit Kapoor</t>
  </si>
  <si>
    <t>Rohan Mishra</t>
  </si>
  <si>
    <t>Aarav Rao</t>
  </si>
  <si>
    <t>Kavya Kumar</t>
  </si>
  <si>
    <t>Shivam Mishra</t>
  </si>
  <si>
    <t>Amit Sinha</t>
  </si>
  <si>
    <t>Aarav Saxena</t>
  </si>
  <si>
    <t>Sneha Saxena</t>
  </si>
  <si>
    <t>Amit Pandey</t>
  </si>
  <si>
    <t>CUST-0249</t>
  </si>
  <si>
    <t>Vivaan Singh</t>
  </si>
  <si>
    <t>Deepak Singh</t>
  </si>
  <si>
    <t>Kavya Patel</t>
  </si>
  <si>
    <t>Ankit Rao</t>
  </si>
  <si>
    <t>Meera Malhotra</t>
  </si>
  <si>
    <t>Sanjay Chauhan</t>
  </si>
  <si>
    <t>Arjun Kumar</t>
  </si>
  <si>
    <t>Ananya Gupta</t>
  </si>
  <si>
    <t>CUST-0261</t>
  </si>
  <si>
    <t>Neha Sinha</t>
  </si>
  <si>
    <t>Arjun Jain</t>
  </si>
  <si>
    <t>Ankit Sharma</t>
  </si>
  <si>
    <t>Amit Mishra</t>
  </si>
  <si>
    <t>Vivaan Pandey</t>
  </si>
  <si>
    <t>Sai Chauhan</t>
  </si>
  <si>
    <t>Rohan Saxena</t>
  </si>
  <si>
    <t>Pooja Jain</t>
  </si>
  <si>
    <t>Sneha Chauhan</t>
  </si>
  <si>
    <t>Kavya Mishra</t>
  </si>
  <si>
    <t>Nisha Gupta</t>
  </si>
  <si>
    <t>Rahul Sinha</t>
  </si>
  <si>
    <t>Rohit Rao</t>
  </si>
  <si>
    <t>Mohit Kumar</t>
  </si>
  <si>
    <t>Deepak Kumar</t>
  </si>
  <si>
    <t>Rohit Patel</t>
  </si>
  <si>
    <t>Kabir Agarwal</t>
  </si>
  <si>
    <t>CUST-0283</t>
  </si>
  <si>
    <t>Meera Verma</t>
  </si>
  <si>
    <t>Sneha Jain</t>
  </si>
  <si>
    <t>Rahul Kapoor</t>
  </si>
  <si>
    <t>Kavya Yadav</t>
  </si>
  <si>
    <t>Akash Verma</t>
  </si>
  <si>
    <t>Nisha Sinha</t>
  </si>
  <si>
    <t>Nisha Kapoor</t>
  </si>
  <si>
    <t>Sai Gupta</t>
  </si>
  <si>
    <t>Karan Pandey</t>
  </si>
  <si>
    <t>Ritika Chauhan</t>
  </si>
  <si>
    <t>Karan Sharma</t>
  </si>
  <si>
    <t>Nisha Pandey</t>
  </si>
  <si>
    <t>Ritika Mishra</t>
  </si>
  <si>
    <t>Ritika Rao</t>
  </si>
  <si>
    <t>Neha Saxena</t>
  </si>
  <si>
    <t>Rohan Yadav</t>
  </si>
  <si>
    <t>Deepak Rao</t>
  </si>
  <si>
    <t>Ishaan Verma</t>
  </si>
  <si>
    <t>Sneha Pandey</t>
  </si>
  <si>
    <t>Sai Kapoor</t>
  </si>
  <si>
    <t>Kavya Singh</t>
  </si>
  <si>
    <t>Ishaan Rao</t>
  </si>
  <si>
    <t>Shivam Jain</t>
  </si>
  <si>
    <t>Arjun Kapoor</t>
  </si>
  <si>
    <t>CUST-0332</t>
  </si>
  <si>
    <t>Deepak Patel</t>
  </si>
  <si>
    <t>Kavya Rao</t>
  </si>
  <si>
    <t>CUST-0334</t>
  </si>
  <si>
    <t>Ishaan Agarwal</t>
  </si>
  <si>
    <t>Priya Malhotra</t>
  </si>
  <si>
    <t>Vivaan Yadav</t>
  </si>
  <si>
    <t>Pooja Chauhan</t>
  </si>
  <si>
    <t>Karan Verma</t>
  </si>
  <si>
    <t>Sai Pandey</t>
  </si>
  <si>
    <t>Sai Agarwal</t>
  </si>
  <si>
    <t>Shivam Pandey</t>
  </si>
  <si>
    <t>Vikas Gupta</t>
  </si>
  <si>
    <t>Sneha Rao</t>
  </si>
  <si>
    <t>Nisha Rao</t>
  </si>
  <si>
    <t>Ishaan Yadav</t>
  </si>
  <si>
    <t>Vivaan Sinha</t>
  </si>
  <si>
    <t>Aarav Kumar</t>
  </si>
  <si>
    <t>Aditya Singh</t>
  </si>
  <si>
    <t>Shivam Patel</t>
  </si>
  <si>
    <t>Rohit Sinha</t>
  </si>
  <si>
    <t>Shivam Gupta</t>
  </si>
  <si>
    <t>Priya Kapoor</t>
  </si>
  <si>
    <t>Ritika Gupta</t>
  </si>
  <si>
    <t>Pooja Agarwal</t>
  </si>
  <si>
    <t>Rohit Mishra</t>
  </si>
  <si>
    <t>Karan Jain</t>
  </si>
  <si>
    <t>Meera Chauhan</t>
  </si>
  <si>
    <t>Ananya Jain</t>
  </si>
  <si>
    <t>Aarav Verma</t>
  </si>
  <si>
    <t>Ankit Mishra</t>
  </si>
  <si>
    <t>Rohan Pandey</t>
  </si>
  <si>
    <t>Meera Patel</t>
  </si>
  <si>
    <t>Vivaan Kumar</t>
  </si>
  <si>
    <t>Riya Chauhan</t>
  </si>
  <si>
    <t>Vikas Malhotra</t>
  </si>
  <si>
    <t>Ritika Yadav</t>
  </si>
  <si>
    <t>Sneha Patel</t>
  </si>
  <si>
    <t>Mohit Pandey</t>
  </si>
  <si>
    <t>Ananya Kumar</t>
  </si>
  <si>
    <t>Sneha Sharma</t>
  </si>
  <si>
    <t>Meera Agarwal</t>
  </si>
  <si>
    <t>Vivaan Tiwari</t>
  </si>
  <si>
    <t>Rahul Rao</t>
  </si>
  <si>
    <t>Vikas Chauhan</t>
  </si>
  <si>
    <t>Arjun Agarwal</t>
  </si>
  <si>
    <t>CUST-0412</t>
  </si>
  <si>
    <t>Shivam Agarwal</t>
  </si>
  <si>
    <t>Rohan Jain</t>
  </si>
  <si>
    <t>Riya Verma</t>
  </si>
  <si>
    <t>Amit Agarwal</t>
  </si>
  <si>
    <t>Sanjay Pandey</t>
  </si>
  <si>
    <t>Aditya Agarwal</t>
  </si>
  <si>
    <t>Salesperson Name</t>
  </si>
  <si>
    <t>Department</t>
  </si>
  <si>
    <t>Joining Date</t>
  </si>
  <si>
    <t>Manager Name</t>
  </si>
  <si>
    <t>Monthly Salary</t>
  </si>
  <si>
    <t>Performance Rating</t>
  </si>
  <si>
    <t>Employment Status</t>
  </si>
  <si>
    <t>Sales</t>
  </si>
  <si>
    <t>Anjali Mehta</t>
  </si>
  <si>
    <t>Rajiv Khanna</t>
  </si>
  <si>
    <t>Priya Nair</t>
  </si>
  <si>
    <t>Vikram Sethi</t>
  </si>
  <si>
    <t>Arjun Verma</t>
  </si>
  <si>
    <t>Sneha Iyer</t>
  </si>
  <si>
    <t>Shivam Tiwari</t>
  </si>
  <si>
    <t>Sanjay Sinha</t>
  </si>
  <si>
    <t>Priya Rao</t>
  </si>
  <si>
    <t>On Leave</t>
  </si>
  <si>
    <t>Ishaan Kumar</t>
  </si>
  <si>
    <t>Akash Pandey</t>
  </si>
  <si>
    <t>Vikas Yadav</t>
  </si>
  <si>
    <t>Deepak Chauhan</t>
  </si>
  <si>
    <t>Ritika Tiwari</t>
  </si>
  <si>
    <t>Simran Sinha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</si>
  <si>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</si>
  <si>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</si>
  <si>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</si>
  <si>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</si>
  <si>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</si>
  <si>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</si>
  <si>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</si>
  <si>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</si>
  <si>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</si>
  <si>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</si>
  <si>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</si>
  <si>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</si>
  <si>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</si>
  <si>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RollNO</t>
  </si>
  <si>
    <t>Name</t>
  </si>
  <si>
    <t>Phone</t>
  </si>
  <si>
    <t>A</t>
  </si>
  <si>
    <t>B</t>
  </si>
  <si>
    <t>C</t>
  </si>
  <si>
    <t>D</t>
  </si>
  <si>
    <t>Types of Cell References:</t>
  </si>
  <si>
    <t>1. Relative Reference</t>
  </si>
  <si>
    <t>Absolute Reference</t>
  </si>
  <si>
    <t>Mixed Reference</t>
  </si>
  <si>
    <t>Total Price</t>
  </si>
  <si>
    <t>It changes automatically when a formula is copied or filled to another cell</t>
  </si>
  <si>
    <t>The reference adjust relative to the position of the formula</t>
  </si>
  <si>
    <t>Business Usecase</t>
  </si>
  <si>
    <t>Revenue Calculation(Unit Price* Quantity)</t>
  </si>
  <si>
    <t>Profit Calculation</t>
  </si>
  <si>
    <t>Discount Calculation</t>
  </si>
  <si>
    <t>Tax calculation</t>
  </si>
  <si>
    <t>Commission Calculation</t>
  </si>
  <si>
    <t>Row by row classifications</t>
  </si>
  <si>
    <t>2. Absolute Cell Reference</t>
  </si>
  <si>
    <t>An absolute reference remains fixed when a formula is copied to another cell</t>
  </si>
  <si>
    <t>Orders</t>
  </si>
  <si>
    <t>Tax</t>
  </si>
  <si>
    <t>Tax amount</t>
  </si>
  <si>
    <t xml:space="preserve">The tax from now is </t>
  </si>
  <si>
    <r>
      <t>The "</t>
    </r>
    <r>
      <rPr>
        <b/>
        <sz val="11"/>
        <color theme="1"/>
        <rFont val="Calibri"/>
        <family val="2"/>
        <scheme val="minor"/>
      </rPr>
      <t xml:space="preserve">$" </t>
    </r>
    <r>
      <rPr>
        <sz val="11"/>
        <color theme="1"/>
        <rFont val="Calibri"/>
        <family val="2"/>
        <scheme val="minor"/>
      </rPr>
      <t>before a alphabet(A,B,..)--&gt; our Column is locked in the same way if the "</t>
    </r>
    <r>
      <rPr>
        <b/>
        <sz val="11"/>
        <color theme="1"/>
        <rFont val="Calibri"/>
        <family val="2"/>
        <scheme val="minor"/>
      </rPr>
      <t xml:space="preserve">$" </t>
    </r>
    <r>
      <rPr>
        <sz val="11"/>
        <color theme="1"/>
        <rFont val="Calibri"/>
        <family val="2"/>
        <scheme val="minor"/>
      </rPr>
      <t>sign is after the Numeric row value(1,2,3,4..)</t>
    </r>
  </si>
  <si>
    <t>Our row is locked</t>
  </si>
  <si>
    <t>Partial cell referecing/mixed cell referencing simply means either row is fixed(locked) or column is fixed(locked)</t>
  </si>
  <si>
    <t>Uses:</t>
  </si>
  <si>
    <t>Two-dimensional lookup matrics</t>
  </si>
  <si>
    <t>Financial Models</t>
  </si>
  <si>
    <t>Sales forecasting</t>
  </si>
  <si>
    <t>Price volume metrics</t>
  </si>
  <si>
    <t>Sensitivity analysis</t>
  </si>
  <si>
    <t>What is lookup?</t>
  </si>
  <si>
    <t>Look--&gt;</t>
  </si>
  <si>
    <t>It searches or look for a value in a location and returns information from another location</t>
  </si>
  <si>
    <t>Lookup value</t>
  </si>
  <si>
    <t>Lookup array</t>
  </si>
  <si>
    <t>Table Array</t>
  </si>
  <si>
    <t>Return Array</t>
  </si>
  <si>
    <t>Search mode</t>
  </si>
  <si>
    <t>Exact match/approximate match</t>
  </si>
  <si>
    <t>It is the key value for which we want any specific information</t>
  </si>
  <si>
    <t>It is the array(list) where you will get your Lookup or key value</t>
  </si>
  <si>
    <t>It is the entire table where you will get your lookup or key value</t>
  </si>
  <si>
    <t xml:space="preserve">The desired result array(list)  we want(name,branch,department…and so on) in return as our result </t>
  </si>
  <si>
    <t>It is optional and used to get values that are are bfore or after by entering +1/-1</t>
  </si>
  <si>
    <t xml:space="preserve">Exact match means we want that particular exact value(name,email,)while the approximate </t>
  </si>
  <si>
    <t>match returns approximate or decimal value</t>
  </si>
  <si>
    <t>NOTE:</t>
  </si>
  <si>
    <t>We always use exact match until and unless specified</t>
  </si>
  <si>
    <t>1.VLOOKUP Function:</t>
  </si>
  <si>
    <t>It searches for a value in the first column of a table and returns a corresponding value from another column in the same row.</t>
  </si>
  <si>
    <t>It always looks to the right of the lookup value vertically</t>
  </si>
  <si>
    <r>
      <t xml:space="preserve">It is also called as </t>
    </r>
    <r>
      <rPr>
        <b/>
        <sz val="11"/>
        <color theme="1"/>
        <rFont val="Calibri"/>
        <family val="2"/>
        <scheme val="minor"/>
      </rPr>
      <t>Verticle Lookup</t>
    </r>
  </si>
  <si>
    <t>Syntax: =VLOOKUP(lookup_value,Table_array,column_index_number,[range_lookup]</t>
  </si>
  <si>
    <t>Range_lookup--&gt; FALSE for exact match</t>
  </si>
  <si>
    <t>Product_Name</t>
  </si>
  <si>
    <t>Find the poduct name for the product with product id "PRD-0053"</t>
  </si>
  <si>
    <t>The company finds some issue occuring with an employee with employee ID "EMP-021",</t>
  </si>
  <si>
    <t xml:space="preserve"> to raise his complain find his/her manager name</t>
  </si>
  <si>
    <r>
      <t>Always use Absolute reference(</t>
    </r>
    <r>
      <rPr>
        <b/>
        <sz val="11"/>
        <color theme="1"/>
        <rFont val="Calibri"/>
        <family val="2"/>
        <scheme val="minor"/>
      </rPr>
      <t xml:space="preserve">$) </t>
    </r>
    <r>
      <rPr>
        <sz val="11"/>
        <color theme="1"/>
        <rFont val="Calibri"/>
        <family val="2"/>
        <scheme val="minor"/>
      </rPr>
      <t xml:space="preserve">when working with lookup functions </t>
    </r>
  </si>
  <si>
    <t>When copied row moves upward or downward then it might create problem so we use Absolute cell referencing</t>
  </si>
  <si>
    <t>Find the first Employee whose manager is Anjali Mehta</t>
  </si>
  <si>
    <t>1. The error is happening because we are trying to look for a value left to the lookup value</t>
  </si>
  <si>
    <t>2. It uses hardcoded column numbers so absolute cell referencing in columns fails</t>
  </si>
  <si>
    <t>3. It returns only first matched records and also returns single value lookup</t>
  </si>
  <si>
    <t>2.HLOOKUP Function:</t>
  </si>
  <si>
    <t>It searches horizontally across the first row of the table and returns a corresponding value from another row</t>
  </si>
  <si>
    <t>HLOOKUP--&gt; Horizontal Lookup</t>
  </si>
  <si>
    <t>We want to find the montly sales targets of the employee with employee id "EMP-023"</t>
  </si>
  <si>
    <t>It is not the best choice when both employee and the month must be dynamic.. For that scenario. A two-way lookup INDEX+MATCH+MATCH lookup is flexible</t>
  </si>
  <si>
    <t>Syntax: =HLOOKUP(lookup_value,Table_array,row_index_number,[range_lookup]</t>
  </si>
  <si>
    <t>3. XLOOKUP Function</t>
  </si>
  <si>
    <t>It looks or searches for the key vlue(lookup value) in the left or in the right</t>
  </si>
  <si>
    <t>It can return maultiple values at once</t>
  </si>
  <si>
    <t>In VLOOKUP if the lookup value is not found it return #N/A but it asks for an argument [if not found]</t>
  </si>
  <si>
    <t>It also has a search mode which controls the direction or algorithm</t>
  </si>
  <si>
    <t>Syntax: =XLOOKUP(lookup_value,Lookup_array,return_array,[if not found],[match_mode],[search_mode])</t>
  </si>
  <si>
    <t>For Employee with id EMP-016 find the respective manager and salary</t>
  </si>
  <si>
    <t>Find the product name, category, subcategory for the product with product id "PRD-0089"</t>
  </si>
  <si>
    <t>It has by default exact match</t>
  </si>
  <si>
    <t>SPEED/Flexibility</t>
  </si>
  <si>
    <t>Returns multiple values at once</t>
  </si>
  <si>
    <t>If the value you want to find is at the last, we can use search mode to -1 (start searching from last)</t>
  </si>
  <si>
    <t>Interview Question:</t>
  </si>
  <si>
    <r>
      <t xml:space="preserve">Why </t>
    </r>
    <r>
      <rPr>
        <b/>
        <sz val="11"/>
        <color theme="1"/>
        <rFont val="Calibri"/>
        <family val="2"/>
        <scheme val="minor"/>
      </rPr>
      <t>XLOOKUP is preferred over VLOOKUP if we want a single column result</t>
    </r>
  </si>
  <si>
    <t>MATCH</t>
  </si>
  <si>
    <t>INDEX</t>
  </si>
  <si>
    <t>INDEX+MATCH</t>
  </si>
  <si>
    <t>INDEX+MATCH+MATCH(Two way lookup)</t>
  </si>
  <si>
    <t>It returns the row number</t>
  </si>
  <si>
    <t>It returns the result based on the row number</t>
  </si>
  <si>
    <t>MATCH Function:</t>
  </si>
  <si>
    <t>It returns relative position for a key value within a range and returns its relative position (Row number)</t>
  </si>
  <si>
    <t>Syntax: =MATCH(lookup_value,lookup_array,[match_type])</t>
  </si>
  <si>
    <t>1--&gt; Exact value or next smaller value</t>
  </si>
  <si>
    <t>1--&gt; Exact value or next larger value</t>
  </si>
  <si>
    <t>Row number</t>
  </si>
  <si>
    <t>Find the position of the customer with customer id "CUST-0044" from the table/data then find his/her name</t>
  </si>
  <si>
    <t>[=MATCH("CUST-0044",Customer_Master!A1:A421,0)]</t>
  </si>
  <si>
    <t>: 45</t>
  </si>
  <si>
    <t>Index+match</t>
  </si>
  <si>
    <t>Index+row</t>
  </si>
  <si>
    <t>INDEX Function:</t>
  </si>
  <si>
    <t>This function returns a value from a specified row and optionally column within a range</t>
  </si>
  <si>
    <t>Syntax: =INDEX(array,row_num,[column_number])</t>
  </si>
  <si>
    <t>array: return array (the array containing our output)</t>
  </si>
  <si>
    <t>array= list of items(a single column, collection of column)</t>
  </si>
  <si>
    <t>currency notes=[10s,20s,50s,100s,200s,500s, coins]</t>
  </si>
  <si>
    <t>dimension-- columns(excel)</t>
  </si>
  <si>
    <t>Find the name of the employee present at 15th position</t>
  </si>
  <si>
    <t>It returns the resultant value on the basis of a given row number or record number</t>
  </si>
  <si>
    <t>Roll_No</t>
  </si>
  <si>
    <t>Email</t>
  </si>
  <si>
    <t>Abhay</t>
  </si>
  <si>
    <t>MBA</t>
  </si>
  <si>
    <t>abc@gmail.com</t>
  </si>
  <si>
    <t>Match returns the relative position of a given lookup value</t>
  </si>
  <si>
    <t>INDEX returns the resultant value with help of row number</t>
  </si>
  <si>
    <t>INDEX+MATCH combines two function:</t>
  </si>
  <si>
    <t>* MATCH finds the position of the required record.</t>
  </si>
  <si>
    <t>* INDEX returns the actual value from that position</t>
  </si>
  <si>
    <t>pg-25</t>
  </si>
  <si>
    <t>AI &amp; Machine learning</t>
  </si>
  <si>
    <t xml:space="preserve">AI &amp; Machine learning ----25th present </t>
  </si>
  <si>
    <t>Use of AI</t>
  </si>
  <si>
    <t>Modern Era with AI</t>
  </si>
  <si>
    <t>Machine learning</t>
  </si>
  <si>
    <t>How machine learning works</t>
  </si>
  <si>
    <t>Find the product name having product id "PRD-0060"</t>
  </si>
  <si>
    <t>[=MATCH("PRD-0060",Product_Master!A1:A81,0)</t>
  </si>
  <si>
    <t>Retrieve the cost price</t>
  </si>
  <si>
    <t>Find the manager of the Employee EMP-014</t>
  </si>
  <si>
    <t>INDEX-MATCH</t>
  </si>
  <si>
    <t>XLOOKUP</t>
  </si>
  <si>
    <t>below 2019</t>
  </si>
  <si>
    <t>Two way lookup using Index+match+match</t>
  </si>
  <si>
    <t>A two way lookup means finding a value at the intersection of row and column in a table.</t>
  </si>
  <si>
    <t>1. INDEX returns a value from a table given a row and a column number</t>
  </si>
  <si>
    <t>2. MATCH finds the position of a lookup value in a row or a column</t>
  </si>
  <si>
    <t>3. Combining them allows dynamic lookups both horizontally and vertically</t>
  </si>
  <si>
    <t>Formula Structure: = INDEX(Table_range(array),MATCH((RowLookup value),lookup_range(lookup_array),0),MATCH((ColumnLookup value,column range(lookup array),0))</t>
  </si>
  <si>
    <t>Column number</t>
  </si>
  <si>
    <t>Find the  monthly target sales  in march for employee EMP-005</t>
  </si>
  <si>
    <t>It is used when Hlookup fails</t>
  </si>
  <si>
    <t>Find the  monthly target sales  in July for employee EMP-016</t>
  </si>
  <si>
    <t>Find the  monthly target sales  in Aug for employee EMP-019</t>
  </si>
  <si>
    <t>Find the  monthly target sales  march for employee EMP-005</t>
  </si>
  <si>
    <t>1st Way</t>
  </si>
  <si>
    <t>2nd Way</t>
  </si>
  <si>
    <t>MATCH finds the position of a value in a range</t>
  </si>
  <si>
    <t>MODE returns the most frequently occuring values (numbers) in a dataset</t>
  </si>
  <si>
    <t>82,85,89,78,85,89,86,87,85,45,85,89</t>
  </si>
  <si>
    <t>85 --&gt;4</t>
  </si>
  <si>
    <t>find the salary which is disbursed to most of the employees</t>
  </si>
  <si>
    <t xml:space="preserve">MATCH+MODE </t>
  </si>
  <si>
    <t>It is used for finding the position of the most common value</t>
  </si>
  <si>
    <t>INDEX+MATCH+MODE is used to find that common value with help of its position using MATCH function</t>
  </si>
  <si>
    <t>Combining Lookups with previous functions</t>
  </si>
  <si>
    <t>Calculate Employee tenure after Lookup for EMP-004</t>
  </si>
  <si>
    <t>Steps which are performed:</t>
  </si>
  <si>
    <t>1. It is finding the joining date(Return value) with help of Employee ID (XLOOKUP)</t>
  </si>
  <si>
    <t>Joining date</t>
  </si>
  <si>
    <t>2. It calculates the difference of dates from today() in years</t>
  </si>
  <si>
    <t>3. Now it will return the result</t>
  </si>
  <si>
    <t>Calculate Employee tenure after Lookup for EMP-016</t>
  </si>
  <si>
    <t>#VALUE</t>
  </si>
  <si>
    <t>Invalid argument types entered</t>
  </si>
  <si>
    <t>Incompatible range/dimension</t>
  </si>
  <si>
    <t>Incompatible formula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</si>
</sst>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.00"/>
    <numFmt numFmtId="166" formatCode="\₹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0" borderId="1" xfId="0" applyBorder="1"/>
    <xf numFmtId="0" fontId="0" fillId="3" borderId="1" xfId="0" applyFill="1" applyBorder="1"/>
    <xf numFmtId="0" fontId="2" fillId="3" borderId="1" xfId="0" applyFont="1" applyFill="1" applyBorder="1"/>
    <xf numFmtId="0" fontId="2" fillId="0" borderId="2" xfId="0" applyFont="1" applyBorder="1"/>
    <xf numFmtId="0" fontId="0" fillId="0" borderId="2" xfId="0" applyBorder="1"/>
    <xf numFmtId="0" fontId="3" fillId="0" borderId="0" xfId="0" applyFont="1"/>
    <xf numFmtId="0" fontId="4" fillId="0" borderId="0" xfId="0" applyFont="1"/>
    <xf numFmtId="0" fontId="5" fillId="0" borderId="0" xfId="1"/>
    <xf numFmtId="0" fontId="0" fillId="0" borderId="0" xfId="0" applyFont="1"/>
    <xf numFmtId="14" fontId="0" fillId="0" borderId="0" xfId="0" applyNumberFormat="1"/>
    <xf numFmtId="0" fontId="6" fillId="3" borderId="0" xfId="0" applyFont="1" applyFill="1"/>
    <xf numFmtId="0" fontId="0" fillId="3" borderId="0" xfId="0" applyFill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93600</xdr:colOff>
      <xdr:row>19</xdr:row>
      <xdr:rowOff>69942</xdr:rowOff>
    </xdr:from>
    <xdr:to>
      <xdr:col>11</xdr:col>
      <xdr:colOff>732699</xdr:colOff>
      <xdr:row>19</xdr:row>
      <xdr:rowOff>143531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6197300-2D8E-2AD3-657B-2761AE43BA6E}"/>
                </a:ext>
              </a:extLst>
            </xdr14:cNvPr>
            <xdr14:cNvContentPartPr/>
          </xdr14:nvContentPartPr>
          <xdr14:nvPr macro=""/>
          <xdr14:xfrm>
            <a:off x="93600" y="3522388"/>
            <a:ext cx="10118160" cy="774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6197300-2D8E-2AD3-657B-2761AE43BA6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7474" y="3516352"/>
              <a:ext cx="10130411" cy="894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556671</xdr:colOff>
      <xdr:row>0</xdr:row>
      <xdr:rowOff>122760</xdr:rowOff>
    </xdr:from>
    <xdr:to>
      <xdr:col>8</xdr:col>
      <xdr:colOff>556078</xdr:colOff>
      <xdr:row>0</xdr:row>
      <xdr:rowOff>122167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3D9F870-2A66-94D4-ABC3-1F9F87843691}"/>
                </a:ext>
              </a:extLst>
            </xdr14:cNvPr>
            <xdr14:cNvContentPartPr/>
          </xdr14:nvContentPartPr>
          <xdr14:nvPr macro=""/>
          <xdr14:xfrm>
            <a:off x="7449840" y="122760"/>
            <a:ext cx="36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3D9F870-2A66-94D4-ABC3-1F9F8784369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443720" y="116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488653</xdr:colOff>
      <xdr:row>0</xdr:row>
      <xdr:rowOff>30705</xdr:rowOff>
    </xdr:from>
    <xdr:to>
      <xdr:col>8</xdr:col>
      <xdr:colOff>672080</xdr:colOff>
      <xdr:row>34</xdr:row>
      <xdr:rowOff>1568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F33A3CF-18E6-D623-C3F3-491F898FDC36}"/>
                </a:ext>
              </a:extLst>
            </xdr14:cNvPr>
            <xdr14:cNvContentPartPr/>
          </xdr14:nvContentPartPr>
          <xdr14:nvPr macro=""/>
          <xdr14:xfrm>
            <a:off x="7381822" y="30705"/>
            <a:ext cx="176760" cy="61470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F33A3CF-18E6-D623-C3F3-491F898FDC3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375987" y="24712"/>
              <a:ext cx="188430" cy="61590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69591</xdr:colOff>
      <xdr:row>18</xdr:row>
      <xdr:rowOff>110530</xdr:rowOff>
    </xdr:from>
    <xdr:to>
      <xdr:col>9</xdr:col>
      <xdr:colOff>359561</xdr:colOff>
      <xdr:row>20</xdr:row>
      <xdr:rowOff>101181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77DCBDC-93A7-2463-6616-ADB4C5BF744F}"/>
                </a:ext>
              </a:extLst>
            </xdr14:cNvPr>
            <xdr14:cNvContentPartPr/>
          </xdr14:nvContentPartPr>
          <xdr14:nvPr macro=""/>
          <xdr14:xfrm>
            <a:off x="6962760" y="3381268"/>
            <a:ext cx="1148760" cy="34740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77DCBDC-93A7-2463-6616-ADB4C5BF744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956674" y="3375426"/>
              <a:ext cx="1160931" cy="35908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6T16:20:50.8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</inkml:definitions>
  <inkml:trace contextRef="#ctx0" brushRef="#br0">0 2 24575,'0'0'0,"6"0"0,5 0 0,5 0 0,0 6 0,0 1 0,1 3 0,3-2 0,-4 6 0,1-1 0,5-3 0,4 1 0,6-3 0,5 4 0,6-1 0,12-2 0,3 4 0,8-2 0,9-2 0,4-2 0,3-3 0,5 2 0,0-2 0,-3-1 0,-8 0 0,-8-2 0,-7 0 0,-9 6 0,-11 0 0,-9 0 0,-3-2 0,-6-1 0,0-1 0,-2-2 0,-1 0 0,2-1 0,5-1 0,0 1 0,5 0 0,8 0 0,4-1 0,4 1 0,2 0 0,1 0 0,2 0 0,1 0 0,-7 0 0,-5 0 0,-7 0 0,-7 0 0,-1 0 0,-5 0 0,2 0 0,-3 0 0,3 0 0,-2 0 0,-1 0 0,5 0 0,9 0 0,-1 0 0,11 0 0,4 0 0,2 0 0,10 0 0,2 0 0,-2 0 0,-2 0 0,-3 0 0,0 0 0,-8 0 0,-1 0 0,-9 0 0,-3 0 0,-6 0 0,-1 0 0,-4 0 0,0 0 0,-1 0 0,4 0 0,-1 0 0,6 0 0,7 0 0,4-3 0,5-1 0,1 1 0,5-7 0,-1-2 0,4 1 0,-1 1 0,-1 3 0,-8-4 0,-5 2 0,-8 1 0,-4 2 0,-7-1 0,-4 1 0,-3 2 0,1 1 0,1 1 0,3 1 0,0 1 0,6-6 0,3-1 0,-2 1 0,2 1 0,-3 1 0,-2 1 0,0 2 0,-3 1 0,2-1 0,-1 2 0,-2-1 0,2 0 0,-1 0 0,2 1 0,-1-1 0,1 0 0,0 0 0,4 0 0,6 0 0,1 0 0,-2 0 0,0 0 0,-4 0 0,-4 0 0,0 0 0,-2 0 0,1 0 0,-2 0 0,-1 0 0,2 0 0,-1 0 0,2 0 0,-2 0 0,3 0 0,5 0 0,-1 0 0,-2 0 0,0 0 0,-2 0 0,1 0 0,-2 0 0,1 0 0,-2 0 0,-1 0 0,1 0 0,6 0 0,-2 0 0,2 0 0,5 3 0,-3 0 0,1 1 0,3-2 0,-3 0 0,3 3 0,0-1 0,-4 0 0,1-2 0,-5 0 0,-3-1 0,0 0 0,-1-1 0,0 0 0,0 0 0,-2 0 0,2-1 0,-2 1 0,3 0 0,5 0 0,0 0 0,1 0 0,-3 0 0,-2 0 0,3 0 0,2 0 0,-2 0 0,1 7 0,-3-1 0,1 1 0,-3-2 0,-1-1 0,0 2 0,-1-1 0,2 0 0,-1-2 0,4-1 0,3-1 0,-1-1 0,-3 0 0,1 0 0,-3 6 0,1 1 0,-1-1 0,0 0 0,0-3 0,-3 0 0,3-2 0,-2 0 0,2-1 0,-2 0 0,0-1 0,4 1 0,9 0 0,6 0 0,4 0 0,4 0 0,1 0 0,3 0 0,1 0 0,-7 0 0,-4 0 0,-8 0 0,-4 0 0,-4 0 0,-5 0 0,1 0 0,-2 0 0,2 0 0,-1 0 0,2 0 0,-1 0 0,-2 0 0,3 0 0,-2 0 0,2 0 0,-1 0 0,-2 0 0,3 0 0,4 0 0,0 0 0,4 0 0,2 0 0,4 0 0,-4 0 0,4 0 0,2 0 0,6 0 0,8 0 0,3 0 0,1 0 0,-5 0 0,-9 0 0,-4 0 0,-8 0 0,-3 0 0,-5 0 0,-2 0 0,0 0 0,-2 0 0,3 0 0,-1 0 0,-1 0 0,2 0 0,-1 0 0,1 0 0,0 0 0,2 0 0,-1 0 0,-2 0 0,1 0 0,0 0 0,1 0 0,-1 0 0,1 0 0,0 0 0,-2 0 0,5 0 0,1 0 0,0 0 0,1 0 0,-3 0 0,4 0 0,2 0 0,-3 0 0,-3 0 0,1 0 0,-3 0 0,1 0 0,4 0 0,-1 0 0,2 0 0,4 0 0,3 0 0,5 0 0,3 0 0,2 0 0,5 0 0,7 0 0,0 0 0,1 0 0,-3 0 0,-6 0 0,-9 0 0,-4 0 0,-8 0 0,-2 0 0,-4 0 0,-3 0 0,1 0 0,-1 0 0,2 0 0,-1 0 0,2 0 0,-1 0 0,5 0 0,-1 0 0,5 0 0,8 0 0,4 0 0,3 0 0,3 0 0,0 0 0,4 0 0,-1 0 0,-6 0 0,-4 0 0,-9 0 0,-2 0 0,-6 0 0,-3 0 0,-1 0 0,-1 0 0,2 0 0,-1 0 0,5 0 0,-1 0 0,3 0 0,-3 0 0,1 0 0,-2 0 0,1 0 0,-2 0 0,-2 0 0,2 0 0,-3 0 0,3 0 0,-1 0 0,2 0 0,-2 0 0,5 0 0,6 0 0,14 0 0,5 0 0,10 0 0,0 0 0,-1 0 0,0 0 0,3 0 0,-2 0 0,-2 0 0,-1 0 0,-9 0 0,-9 0 0,-6 0 0,-7 0 0,-2 0 0,-5 0 0,2 0 0,-2 0 0,-2 0 0,3 0 0,5 0 0,-1 0 0,5 0 0,8 0 0,4 0 0,4 0 0,8 0 0,2 0 0,9 0 0,-1 0 0,-2 0 0,6 0 0,-4 0 0,-2 0 0,-5 0 0,-4 0 0,-6 0 0,-2 0 0,-8 0 0,0-4 0,-3 1 0,-4 0 0,1 0 0,0 1 0,3 1 0,4 0 0,3 1 0,9 0 0,5 0 0,1 0 0,7 0 0,-2 0 0,7 0 0,-3 0 0,4-6 0,0-1 0,-5 0 0,-5 1 0,-3 2 0,-2-2 0,-1 1 0,-9 1 0,-5 2 0,-7 0 0,-7 1 0,-2 0 0,-3 1 0,1 1 0,-1-1 0,1 0 0,6 0 0,-1 0 0,5 0 0,4 0 0,4 0 0,7 0 0,3 0 0,1 0 0,0 0 0,-1 0 0,-3 0 0,-1 0 0,-7 0 0,-4 0 0,-6 0 0,-1 0 0,-4 0 0,-4 0 0,2 0 0,-2 0 0,3 0 0,-2 0 0,2 0 0,-1 0 0,-1 0 0,1 0 0,-1 0 0,2 0 0,-1 0 0,-1 0 0,4 0 0,9 0 0,0 0 0,0 0 0,-3 0 0,-4 0 0,-1 0 0,-3 0 0,1 0 0,-3 0 0,0 0 0,7 0 0,6 0 0,-2 0 0,5 0 0,3 0 0,6 0 0,2 0 0,2 0 0,-6 0 0,-1 0 0,-3 0 0,0 0 0,1 0 0,-4 0 0,1 0 0,-2 0 0,-5 0 0,0 0 0,-5 0 0,3 0 0,1 0 0,-3 0 0,5 0 0,-4 0 0,7 0 0,5 0 0,3 0 0,-4 0 0,2 0 0,10 0 0,3 0 0,1 0 0,-1 0 0,-1 0 0,-5 0 0,-8 0 0,-1 0 0,-4 0 0,-4 0 0,-2 0 0,-4 0 0,-3 0 0,1 0 0,-3 0 0,2 0 0,-1 0 0,6 0 0,5 0 0,2 0 0,4 0 0,4 0 0,2 0 0,3 0 0,-3 0 0,1 0 0,-7 0 0,-2 0 0,-6 0 0,-2 0 0,-4 0 0,-3 0 0,1 0 0,5 0 0,-1 0 0,1 0 0,5 0 0,-2 0 0,1 0 0,3 0 0,-3 0 0,-4 0 0,1 0 0,-4 0 0,0 0 0,-2 0 0,2 0 0,-2 0 0,-1 0 0,1 0 0,-1 0 0,1 0 0,0 0 0,5 0 0,2 0 0,-1 0 0,-3 0 0,1 0 0,-3 0 0,1 0 0,-1 0 0,-3 0 0,2 0 0,-1 0 0,2 0 0,5 0 0,6 0 0,5 0 0,10 0 0,7 0 0,1 0 0,1 0 0,-3 0 0,-1 0 0,0 0 0,-7 0 0,-2 0 0,-4 0 0,-7 0 0,-6 0 0,-2 0 0,-3 0 0,0 0 0,-2 0 0,2 0 0,-2 0 0,-1 0 0,2 0 0,-1 0 0,2 0 0,5 0 0,0 0 0,-3 0 0,2 0 0,-4 0 0,2 0 0,-2 0 0,1 0 0,-1 0 0,-2 0 0,1 0 0,-1 0 0,2 0 0,-2 0 0,6 0 0,2 0 0,-1 0 0,-3 0 0,4 0 0,1 0 0,-2 0 0,0 0 0,-3 0 0,1 0 0,-2 0 0,-3 0 0,2 0 0,-3 0 0,3 0 0,-1 0 0,1 0 0,0 0 0,-3 0 0,6 0 0,8 0 0,6 0 0,4 0 0,-3 0 0,1 0 0,4 0 0,2 0 0,-6 0 0,0 0 0,-3 0 0,-5 0 0,-3 0 0,-4 0 0,-5 0 0,1 0 0,-2 0 0,1 0 0,-1 0 0,-1 0 0,1 0 0,0 0 0,2 0 0,-1 0 0,2 0 0,-2 0 0,-1 0 0,2 0 0,-2 0 0,2 0 0,-1 0 0,2 0 0,-2 0 0,-1 0 0,1 0 0,-1 0 0,3 0 0,-3 0 0,3 0 0,-2 0 0,-1 0 0,5 0 0,8 0 0,6 0 0,5 0 0,-4 0 0,-3 0 0,2 0 0,-6-6 0,-2-1 0,-4 1 0,-1 0 0,-3 2 0,-3 2 0,1 0 0,-2 2 0,3 0 0,-2 0 0,6 0 0,2 0 0,5 1 0,-2-1 0,3 0 0,-3 0 0,3 0 0,6 0 0,-4 0 0,3 0 0,-5 0 0,5 0 0,-4 0 0,1 0 0,-4 0 0,2 0 0,-1 0 0,3 0 0,3 0 0,-4 0 0,1 0 0,6 0 0,3 0 0,8 0 0,1 0 0,11 0 0,5 0 0,4 0 0,14 0 0,-4 0 0,0 0 0,1 0 0,0 0 0,-8 0 0,-5 0 0,-7 0 0,-13 0 0,-5 0 0,-8 0 0,-7 0 0,-6 0 0,-3 0 0,-3 0 0,2 0 0,-3 0 0,2 0 0,0 0 0,-2 0 0,2 0 0,-1 0 0,5 0 0,3 0 0,-2 0 0,1 0 0,-2 0 0,4 0 0,-3 0 0,1 0 0,-3 0 0,2 0 0,-4 0 0,2 0 0,4 0 0,5 0 0,5 0 0,4 0 0,-1 0 0,2 0 0,1 0 0,-5 0 0,0 0 0,-3 0 0,-4 0 0,-6 0 0,-1 0 0,-3 0 0,0 0 0,-1 0 0,1 0 0,-1 0 0,-2 0 0,2 0 0,-1 0 0,2 0 0,-2 0 0,3 0 0,-2 0 0,-1 0 0,2 0 0,-2 0 0,2 0 0,-1 0 0,2 0 0,-2 0 0,-1 0 0,2 0 0,-2 0 0,2 0 0,-1 0 0,-2 0 0,3 0 0,4-3 0,0-1 0,4 1 0,8 0 0,5-5 0,3-1 0,-2 2 0,2 1 0,-1 2 0,0 1 0,1 2 0,-3 0 0,0 2 0,-6-1 0,-3 0 0,-5 0 0,-6 1 0,0-1 0,-2 0 0,0 0 0,-1 0 0,2 0 0,-2 0 0,6 0 0,-1 0 0,5 0 0,7 0 0,-1 0 0,2 0 0,0 0 0,-5 0 0,-5 0 0,-2 0 0,-3 0 0,0 0 0,-2 0 0,-2 0 0,1 0 0,0 0 0,1 0 0,0 0 0,1 0 0,-1 0 0,-1 0 0,2 0 0,-2 0 0,2 0 0,-1 0 0,2 0 0,-2 0 0,-1 0 0,2 0 0,-2 0 0,-5-6 0,3-1 0,-2 0 0,3 2 0,0 1 0,-1 1 0,3 2 0,-1 0 0,2 1 0,-1 0 0,-1 1 0,1-1 0,-1 0 0,2 0 0,-1 1 0,2-1 0,-1 0 0,-2 0 0,1 0 0,-1 0 0,2 0 0,-1 0 0,2 0 0,-2 0 0,-1 0 0,2 0 0,-2 0 0,2 0 0,-5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6T16:20:55.5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</inkml:definitions>
  <inkml:trace contextRef="#ctx0" brushRef="#br0">1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6T16:21:02.76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6"/>
      <inkml:brushProperty name="anchorY" value="-101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121.3418"/>
      <inkml:brushProperty name="anchorY" value="-1015.99847"/>
      <inkml:brushProperty name="scaleFactor" value="0.5"/>
    </inkml:brush>
  </inkml:definitions>
  <inkml:trace contextRef="#ctx0" brushRef="#br0">398 1 24575,'0'0'0,"0"3"0,0 4 0,0 7 0,0 2 0,0 6 0,0 1 0,0-1 0,0 2 0,0 0 0,0 2 0,0-2 0,0-2 0,0 2 0,0-1 0,0 2 0,0-2 0,0 2 0,0-1 0,0-2 0,0 2 0,0-1 0,0 2 0,0-2 0,0 3 0,0-3 0,0 0 0,0 1 0,0-2 0,0 3 0,0-2 0,0-1 0,0 2 0,0-1 0,0 1 0,0 0 0,0 1 0,0-1 0,0-2 0,0 3 0,0-3 0,0 3 0,0-2 0,0 6 0,0 2 0,0-2 0,0-2 0,0 0 0,0-2 0,0 0 0,0-1 0,0 2 0,0-2 0,0-2 0,0 1 0,0 0 0,0 1 0,0 0 0,0-3 0,0 3 0,0-1 0,0 5 0,0 2 0,0-1 0,0 1 0,0 4 0,0-3 0,0-2 0,0 0 0,0-4 0,0 5 0,0 0 0,0-1 0,0 1 0,0-3 0,0 4 0,0-2 0,0 0 0,0-2 0,0 1 0,0 4 0,0-3 0,0 6 0,0-1 0,0 5 0,0 3 0,0 9 0,0 13 0,0 9 0,0-7 0,0-3 0,0-2 0,0-3 0,0-3 0,-7-2 0,0 1 0,0 0 0,-2-1 0,2-4 0,1-8 0,1-7 0,-4 3 0,0-5 0,1 4 0,-1-5 0,2 4 0,1 7 0,-5-3 0,2 2 0,1 2 0,2-1 0,2 2 0,2-5 0,0 0 0,2-1 0,0 2 0,1 2 0,-1 3 0,1 2 0,-1 1 0,0 5 0,0 0 0,-3-6 0,-1-1 0,0-4 0,1-5 0,1-4 0,0-5 0,2-4 0,-7 0 0,0 4 0,0 0 0,1 4 0,2 2 0,2 4 0,1-3 0,0 3 0,1-1 0,0 3 0,-3-4 0,0 3 0,0 1 0,0 0 0,1-5 0,1 2 0,0-1 0,1 3 0,0-4 0,0-4 0,0 2 0,0-1 0,0 5 0,1-4 0,-1 1 0,0 2 0,0-3 0,0-1 0,0-3 0,0-4 0,0 1 0,0-3 0,0 1 0,0 6 0,0-1 0,0 1 0,0-3 0,0-1 0,0-1 0,0-1 0,0 1 0,0-2 0,0 2 0,0-1 0,0-2 0,0-5 0</inkml:trace>
  <inkml:trace contextRef="#ctx0" brushRef="#br1" timeOffset="2697.81">515 7254 24575,'0'0'0,"0"2"0,0 12 0,-7 10 0,0 6 0,-3 7 0,1 6 0,1-3 0,-4 6 0,1 1 0,-1-5 0,1 1 0,-3 4 0,1 2 0,3-6 0,3 1 0,2 0 0,-1-2 0,1 1 0,2 1 0,0 2 0,-5 5 0,1 1 0,-1 1 0,-4-4 0,1-7 0,1 0 0,3-8 0,2-1 0,-1 1 0,2-3 0,-7 7 0,2-4 0,0-2 0,3 2 0,1-1 0,3-2 0,1-1 0,0-2 0,1-4 0,1 0 0,-1-1 0,1 1 0,-1-1 0,0 2 0,0-1 0,0-2 0,0 2 0,0-2 0,0 3 0,0-2 0,0 3 0,0-3 0,0 0 0,0 1 0,0-2 0,0 3 0,0-1 0,0 1 0,0-1 0,0-2 0,0 2 0,0-1 0,0 1 0,0 7 0,0-2 0,0 4 0,0 2 0,0-3 0,0 4 0,0-5 0,0 5 0,0 5 0,0 4 0,0-3 0,0 1 0,0 1 0,0-1 0,0 0 0,0-4 0,0 0 0,0-1 0,0 1 0,0-3 0,0 1 0,0 3 0,0 0 0,0-5 0,0 2 0,0-1 0,0 3 0,0-5 0,3 4 0,1-1 0,-1 2 0,0 3 0,-1-4 0,0 2 0,-2-1 0,1-5 0,-1-2 0,0-4 0,3 3 0,0 1 0,0-3 0,0-3 0,-1 1 0,-1 4 0,0-3 0,-1 3 0,0-4 0,0 1 0,0-2 0,0-3 0,7 2 0,0-3 0,0 6 0,-1 2 0,-2-2 0,-1 2 0,-2 4 0,0-3 0,-1-2 0,0-1 0,3-2 0,0 4 0,0 0 0,0-1 0,-1 1 0,-1-3 0,0-3 0,-1 1 0,0-2 0,0 2 0,0 4 0,0 0 0,-1 5 0,8 7 0,0-2 0,0-4 0,-2 2 0,0-1 0,-3 3 0,0-4 0,-2 2 0,0-1 0,0 4 0,0 2 0,-1-4 0,1 2 0,0 5 0,0-4 0,0 1 0,0-4 0,0 0 0,0-1 0,0-4 0,0-2 0,0-3 0,0 3 0,0 0 0,0-2 0,0-2 0,0-1 0,0 5 0,0-2 0,0 1 0,0-2 0,0 0 0,0 4 0,0-2 0,0 4 0,0-2 0,0 6 0,0-2 0,0 2 0,0-3 0,0 2 0,0 6 0,0-3 0,0 1 0,0 3 0,0 1 0,0-1 0,0 1 0,0 1 0,0-2 0,0 0 0,0 2 0,0 0 0,0-4 0,-3 0 0,-1-3 0,1 2 0,0-5 0,1-2 0,0-4 0,2 2 0,-4 1 0,1-4 0,-1-2 0,2 0 0,0 3 0,1-1 0,-3 1 0,0-3 0,0 2 0,2-4 0,0-2 0,1 2 0,0-3 0,-6 2 0,0-1 0,0 3 0,1-3 0,-1-4 0,1-2 0,1 2 0,1 0 0,2 6 0,1 4 0,-6-2 0,0 3 0,0 4 0,-2-2 0,1 3 0,2-2 0,2-1 0,-5 3 0,1-2 0,0 2 0,3 1 0,1 2 0,2 4 0,0 3 0,2-1 0,0 1 0,-3 1 0,0 2 0,-7 10 0,0 8 0,1 1 0,2 8 0,2 3 0,-4-3 0,0 5 0,2 2 0,1 0 0,-5 4 0,2 1 0,1 4 0,-2-8 0,3 9 0,1-1 0,-5 0 0,2-6 0,0-7 0,3-16 0,2-11 0,2-12 0,0-9 0,2-4 0,0-5 0,1 1 0,-1-1 0,0 2 0,1-1 0,-1 0 0,0 1 0,0-1 0,0 3 0,0-2 0,0 3 0,0-2 0,0-2 0,0 2 0,7-1 0,0 2 0,0-2 0,-1-1 0,-2 2 0,-1-2 0,-1 3 0,-2-2 0,0 3 0,0-2 0,0-5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6T16:21:08.9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650.83203"/>
      <inkml:brushProperty name="anchorY" value="-9972.03125"/>
      <inkml:brushProperty name="scaleFactor" value="0.5"/>
    </inkml:brush>
  </inkml:definitions>
  <inkml:trace contextRef="#ctx0" brushRef="#br0">1950 344 24575,'0'0'0,"-2"0"0,-5 0 0,-7-7 0,-2 0 0,-5 0 0,-1 1 0,0 2 0,-2 1 0,0 2 0,-1 0 0,2 1 0,0 0 0,0 1 0,-6-1 0,1 0 0,-2 0 0,-3 0 0,-5 1 0,-4-1 0,-13 0 0,-3 3 0,-7 0 0,0 1 0,-8-1 0,4-1 0,3-1 0,-5 7 0,4-1 0,-3 0 0,4-1 0,1-2 0,3-1 0,5-2 0,9 0 0,0-1 0,7-1 0,7 1 0,4 0 0,4-1 0,0 1 0,4 0 0,1 0 0,-1 0 0,0 0 0,-1 0 0,0 0 0,-1 0 0,0 0 0,2 0 0,5 3 0,-2 1 0,5 3 0,0-1 0,-3-1 0,2 7 0,4 1 0,0-1 0,2 5 0,4 1 0,1 4 0,2 0 0,1 0 0,1 2 0,7-4 0,0-1 0,0 2 0,2-4 0,-1-1 0,5-4 0,-2 4 0,1-4 0,-2 1 0,1-2 0,-2 0 0,4-2 0,1 4 0,-1 1 0,3-1 0,-2 4 0,1-2 0,2-1 0,2-2 0,-1-4 0,-3 1 0,3-2 0,0 5 0,3-2 0,-1-1 0,1-3 0,2 2 0,-1-2 0,3-2 0,-2 6 0,2-1 0,-1-1 0,-2-1 0,2 0 0,-2-1 0,2-1 0,-1-2 0,6-1 0,1-1 0,-1 6 0,-3 0 0,1-1 0,4 0 0,-2-3 0,1 3 0,-3-1 0,1 0 0,-3-2 0,-2-1 0,1-1 0,-2-1 0,5 0 0,6 0 0,8 0 0,-1 0 0,3 0 0,-2-1 0,2 1 0,-6 0 0,2 0 0,1-3 0,6-1 0,2 0 0,-5 1 0,1-2 0,-3 0 0,1 1 0,-6-6 0,2 1 0,2 1 0,-2 2 0,3-2 0,-4 1 0,1 3 0,6-7 0,2 2 0,2 1 0,-2-1 0,-6 2 0,0-6 0,-2 2 0,1 1 0,2-4 0,-1 3 0,2-2 0,-5 3 0,2 2 0,-2-4 0,-4 2 0,2 1 0,-4 3 0,0 2 0,-5 2 0,2 1 0,-4 0 0,-2 2 0,2-4 0,-3 0 0,3-4 0,-1 1 0,2 1 0,-2-6 0,-1 1 0,2 1 0,-2 3 0,2 1 0,-1-1 0,2 2 0,-1 0 0,-2 1 0,-5-5 0,2 0 0,-2 1 0,-2-2 0,2 1 0,-4-5 0,1 2 0,-4-2 0,5 3 0,-4-2 0,-1-4 0,-3-1 0,-6-5 0,-6 0 0,-7-3 0,-1 0 0,-2 4 0,-4 3 0,2-2 0,0 4 0,4 0 0,1 4 0,-4-3 0,2-1 0,0 3 0,-3 0 0,-1 2 0,-4-3 0,0 2 0,0 2 0,-1-1 0,0-3 0,-1 1 0,0-2 0,-1 4 0,1-4 0,2 2 0,-2 3 0,2 3 0,4-2 0,-1 3 0,0 2 0,2 1 0,-4 1 0,1 1 0,-4 1 0,1 0 0,-2 0 0,2 1 0,0-1 0,-1-3 0,2-1 0,-2 1 0,1 0 0,-2 1 0,1-6 0,2 1 0,-2-1 0,2 3 0,-2-3 0,1 2 0,1 2 0,-1 0 0,1 2 0,-6 1 0,-1 1 0,0 0 0,0 0 0,2-6 0,2-1 0,1 0 0,1 1 0,-2 2 0,2 1 0,-1 2 0,0 0 0,3 1 0,-3 0 0,2 0 0,-2 1 0,1-1 0,-2 0 0,1 0 0,2 0 0,-2 0 0,2 0 0,4 4 0,-1-1 0,0 4 0,1 0 0,-2 5 0,-1-1 0,5 3 0,-3-4 0,0 2 0,-2-3 0,-1 5 0,2-2 0,-3 1 0,1-3 0,-3-2 0,6 4 0,0-1 0,-1-3 0,4 2 0,3-3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01"/>
  <sheetViews>
    <sheetView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2" width="12" customWidth="1"/>
    <col min="3" max="3" width="13" customWidth="1"/>
    <col min="4" max="4" width="12" customWidth="1"/>
    <col min="5" max="5" width="16" customWidth="1"/>
    <col min="6" max="7" width="12" customWidth="1"/>
    <col min="8" max="8" width="15" customWidth="1"/>
    <col min="9" max="10" width="14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s="2">
        <v>46152</v>
      </c>
      <c r="C2" t="s">
        <v>11</v>
      </c>
      <c r="D2" t="s">
        <v>12</v>
      </c>
      <c r="E2" t="s">
        <v>13</v>
      </c>
      <c r="F2">
        <v>10</v>
      </c>
      <c r="G2" s="3">
        <v>0.2</v>
      </c>
      <c r="H2" t="s">
        <v>14</v>
      </c>
      <c r="I2" t="s">
        <v>15</v>
      </c>
      <c r="J2" t="s">
        <v>16</v>
      </c>
    </row>
    <row r="3" spans="1:10" x14ac:dyDescent="0.45">
      <c r="A3" t="s">
        <v>17</v>
      </c>
      <c r="B3" s="2">
        <v>45791</v>
      </c>
      <c r="C3" t="s">
        <v>18</v>
      </c>
      <c r="D3" t="s">
        <v>19</v>
      </c>
      <c r="E3" t="s">
        <v>20</v>
      </c>
      <c r="F3">
        <v>8</v>
      </c>
      <c r="G3" s="3">
        <v>0.2</v>
      </c>
      <c r="H3" t="s">
        <v>14</v>
      </c>
      <c r="I3" t="s">
        <v>15</v>
      </c>
      <c r="J3" t="s">
        <v>21</v>
      </c>
    </row>
    <row r="4" spans="1:10" x14ac:dyDescent="0.45">
      <c r="A4" t="s">
        <v>22</v>
      </c>
      <c r="B4" s="2">
        <v>45979</v>
      </c>
      <c r="C4" t="s">
        <v>23</v>
      </c>
      <c r="D4" t="s">
        <v>24</v>
      </c>
      <c r="E4" t="s">
        <v>25</v>
      </c>
      <c r="F4">
        <v>1</v>
      </c>
      <c r="G4" s="3">
        <v>0.05</v>
      </c>
      <c r="H4" t="s">
        <v>26</v>
      </c>
      <c r="I4" t="s">
        <v>27</v>
      </c>
      <c r="J4" t="s">
        <v>21</v>
      </c>
    </row>
    <row r="5" spans="1:10" x14ac:dyDescent="0.45">
      <c r="A5" t="s">
        <v>28</v>
      </c>
      <c r="B5" s="2">
        <v>46101</v>
      </c>
      <c r="C5" t="s">
        <v>29</v>
      </c>
      <c r="D5" t="s">
        <v>30</v>
      </c>
      <c r="E5" t="s">
        <v>31</v>
      </c>
      <c r="F5">
        <v>11</v>
      </c>
      <c r="G5" s="3">
        <v>0.05</v>
      </c>
      <c r="H5" t="s">
        <v>14</v>
      </c>
      <c r="I5" t="s">
        <v>15</v>
      </c>
      <c r="J5" t="s">
        <v>21</v>
      </c>
    </row>
    <row r="6" spans="1:10" x14ac:dyDescent="0.45">
      <c r="A6" t="s">
        <v>32</v>
      </c>
      <c r="B6" s="2">
        <v>45669</v>
      </c>
      <c r="C6" t="s">
        <v>33</v>
      </c>
      <c r="D6" t="s">
        <v>34</v>
      </c>
      <c r="E6" t="s">
        <v>35</v>
      </c>
      <c r="F6">
        <v>11</v>
      </c>
      <c r="G6" s="3">
        <v>0.03</v>
      </c>
      <c r="H6" t="s">
        <v>14</v>
      </c>
      <c r="I6" t="s">
        <v>15</v>
      </c>
      <c r="J6" t="s">
        <v>36</v>
      </c>
    </row>
    <row r="7" spans="1:10" x14ac:dyDescent="0.45">
      <c r="A7" t="s">
        <v>37</v>
      </c>
      <c r="B7" s="2">
        <v>46161</v>
      </c>
      <c r="C7" t="s">
        <v>38</v>
      </c>
      <c r="D7" t="s">
        <v>39</v>
      </c>
      <c r="E7" t="s">
        <v>40</v>
      </c>
      <c r="F7">
        <v>6</v>
      </c>
      <c r="G7" s="3">
        <v>0.05</v>
      </c>
      <c r="H7" t="s">
        <v>14</v>
      </c>
      <c r="I7" t="s">
        <v>27</v>
      </c>
      <c r="J7" t="s">
        <v>21</v>
      </c>
    </row>
    <row r="8" spans="1:10" x14ac:dyDescent="0.45">
      <c r="A8" t="s">
        <v>41</v>
      </c>
      <c r="B8" s="2">
        <v>46045</v>
      </c>
      <c r="C8" t="s">
        <v>42</v>
      </c>
      <c r="D8" t="s">
        <v>43</v>
      </c>
      <c r="E8" t="s">
        <v>25</v>
      </c>
      <c r="F8">
        <v>7</v>
      </c>
      <c r="G8" s="3">
        <v>0.05</v>
      </c>
      <c r="H8" t="s">
        <v>14</v>
      </c>
      <c r="I8" t="s">
        <v>15</v>
      </c>
      <c r="J8" t="s">
        <v>16</v>
      </c>
    </row>
    <row r="9" spans="1:10" x14ac:dyDescent="0.45">
      <c r="A9" t="s">
        <v>44</v>
      </c>
      <c r="B9" s="2">
        <v>46115</v>
      </c>
      <c r="C9" t="s">
        <v>45</v>
      </c>
      <c r="D9" t="s">
        <v>46</v>
      </c>
      <c r="E9" t="s">
        <v>47</v>
      </c>
      <c r="F9">
        <v>6</v>
      </c>
      <c r="G9" s="3">
        <v>0</v>
      </c>
      <c r="H9" t="s">
        <v>26</v>
      </c>
      <c r="I9" t="s">
        <v>48</v>
      </c>
      <c r="J9" t="s">
        <v>21</v>
      </c>
    </row>
    <row r="10" spans="1:10" x14ac:dyDescent="0.45">
      <c r="A10" t="s">
        <v>49</v>
      </c>
      <c r="B10" s="2">
        <v>45658</v>
      </c>
      <c r="C10" t="s">
        <v>50</v>
      </c>
      <c r="D10" t="s">
        <v>51</v>
      </c>
      <c r="E10" t="s">
        <v>52</v>
      </c>
      <c r="F10">
        <v>2</v>
      </c>
      <c r="G10" s="3">
        <v>0.08</v>
      </c>
      <c r="H10" t="s">
        <v>53</v>
      </c>
      <c r="I10" t="s">
        <v>54</v>
      </c>
      <c r="J10" t="s">
        <v>21</v>
      </c>
    </row>
    <row r="11" spans="1:10" x14ac:dyDescent="0.45">
      <c r="A11" t="s">
        <v>55</v>
      </c>
      <c r="B11" s="2">
        <v>45713</v>
      </c>
      <c r="C11" t="s">
        <v>56</v>
      </c>
      <c r="D11" t="s">
        <v>57</v>
      </c>
      <c r="E11" t="s">
        <v>58</v>
      </c>
      <c r="F11">
        <v>4</v>
      </c>
      <c r="G11" s="3">
        <v>0.2</v>
      </c>
      <c r="H11" t="s">
        <v>14</v>
      </c>
      <c r="I11" t="s">
        <v>15</v>
      </c>
      <c r="J11" t="s">
        <v>59</v>
      </c>
    </row>
    <row r="12" spans="1:10" x14ac:dyDescent="0.45">
      <c r="A12" t="s">
        <v>60</v>
      </c>
      <c r="B12" s="2">
        <v>45757</v>
      </c>
      <c r="C12" t="s">
        <v>61</v>
      </c>
      <c r="D12" t="s">
        <v>62</v>
      </c>
      <c r="E12" t="s">
        <v>31</v>
      </c>
      <c r="F12">
        <v>11</v>
      </c>
      <c r="G12" s="3">
        <v>0.05</v>
      </c>
      <c r="H12" t="s">
        <v>14</v>
      </c>
      <c r="I12" t="s">
        <v>27</v>
      </c>
      <c r="J12" t="s">
        <v>16</v>
      </c>
    </row>
    <row r="13" spans="1:10" x14ac:dyDescent="0.45">
      <c r="A13" t="s">
        <v>63</v>
      </c>
      <c r="B13" s="2">
        <v>46192</v>
      </c>
      <c r="C13" t="s">
        <v>64</v>
      </c>
      <c r="D13" t="s">
        <v>65</v>
      </c>
      <c r="E13" t="s">
        <v>52</v>
      </c>
      <c r="F13">
        <v>6</v>
      </c>
      <c r="G13" s="3">
        <v>0</v>
      </c>
      <c r="H13" t="s">
        <v>14</v>
      </c>
      <c r="I13" t="s">
        <v>54</v>
      </c>
      <c r="J13" t="s">
        <v>21</v>
      </c>
    </row>
    <row r="14" spans="1:10" x14ac:dyDescent="0.45">
      <c r="A14" t="s">
        <v>66</v>
      </c>
      <c r="B14" s="2">
        <v>45918</v>
      </c>
      <c r="C14" t="s">
        <v>67</v>
      </c>
      <c r="D14" t="s">
        <v>68</v>
      </c>
      <c r="E14" t="s">
        <v>31</v>
      </c>
      <c r="F14">
        <v>10</v>
      </c>
      <c r="G14" s="3">
        <v>0.05</v>
      </c>
      <c r="H14" t="s">
        <v>14</v>
      </c>
      <c r="I14" t="s">
        <v>15</v>
      </c>
      <c r="J14" t="s">
        <v>21</v>
      </c>
    </row>
    <row r="15" spans="1:10" x14ac:dyDescent="0.45">
      <c r="A15" t="s">
        <v>69</v>
      </c>
      <c r="B15" s="2">
        <v>46004</v>
      </c>
      <c r="C15" t="s">
        <v>70</v>
      </c>
      <c r="D15" t="s">
        <v>71</v>
      </c>
      <c r="E15" t="s">
        <v>72</v>
      </c>
      <c r="F15">
        <v>2</v>
      </c>
      <c r="G15" s="3">
        <v>0.15</v>
      </c>
      <c r="H15" t="s">
        <v>14</v>
      </c>
      <c r="I15" t="s">
        <v>48</v>
      </c>
      <c r="J15" t="s">
        <v>16</v>
      </c>
    </row>
    <row r="16" spans="1:10" x14ac:dyDescent="0.45">
      <c r="A16" t="s">
        <v>73</v>
      </c>
      <c r="B16" s="2">
        <v>46174</v>
      </c>
      <c r="C16" t="s">
        <v>74</v>
      </c>
      <c r="D16" t="s">
        <v>75</v>
      </c>
      <c r="E16" t="s">
        <v>20</v>
      </c>
      <c r="F16">
        <v>3</v>
      </c>
      <c r="G16" s="3">
        <v>0.2</v>
      </c>
      <c r="H16" t="s">
        <v>14</v>
      </c>
      <c r="I16" t="s">
        <v>48</v>
      </c>
      <c r="J16" t="s">
        <v>21</v>
      </c>
    </row>
    <row r="17" spans="1:10" x14ac:dyDescent="0.45">
      <c r="A17" t="s">
        <v>76</v>
      </c>
      <c r="B17" s="2">
        <v>46178</v>
      </c>
      <c r="C17" t="s">
        <v>77</v>
      </c>
      <c r="D17" t="s">
        <v>78</v>
      </c>
      <c r="E17" t="s">
        <v>47</v>
      </c>
      <c r="F17">
        <v>3</v>
      </c>
      <c r="G17" s="3">
        <v>0.03</v>
      </c>
      <c r="H17" t="s">
        <v>53</v>
      </c>
      <c r="I17" t="s">
        <v>54</v>
      </c>
      <c r="J17" t="s">
        <v>21</v>
      </c>
    </row>
    <row r="18" spans="1:10" x14ac:dyDescent="0.45">
      <c r="A18" t="s">
        <v>79</v>
      </c>
      <c r="B18" s="2">
        <v>45987</v>
      </c>
      <c r="C18" t="s">
        <v>80</v>
      </c>
      <c r="D18" t="s">
        <v>81</v>
      </c>
      <c r="E18" t="s">
        <v>82</v>
      </c>
      <c r="F18">
        <v>9</v>
      </c>
      <c r="G18" s="3">
        <v>0.15</v>
      </c>
      <c r="H18" t="s">
        <v>14</v>
      </c>
      <c r="I18" t="s">
        <v>54</v>
      </c>
      <c r="J18" t="s">
        <v>21</v>
      </c>
    </row>
    <row r="19" spans="1:10" x14ac:dyDescent="0.45">
      <c r="A19" t="s">
        <v>83</v>
      </c>
      <c r="B19" s="2">
        <v>45794</v>
      </c>
      <c r="C19" t="s">
        <v>84</v>
      </c>
      <c r="D19" t="s">
        <v>65</v>
      </c>
      <c r="E19" t="s">
        <v>85</v>
      </c>
      <c r="F19">
        <v>3</v>
      </c>
      <c r="G19" s="3">
        <v>0.15</v>
      </c>
      <c r="H19" t="s">
        <v>53</v>
      </c>
      <c r="I19" t="s">
        <v>27</v>
      </c>
      <c r="J19" t="s">
        <v>16</v>
      </c>
    </row>
    <row r="20" spans="1:10" x14ac:dyDescent="0.45">
      <c r="A20" t="s">
        <v>86</v>
      </c>
      <c r="B20" s="2">
        <v>45880</v>
      </c>
      <c r="C20" t="s">
        <v>87</v>
      </c>
      <c r="D20" t="s">
        <v>88</v>
      </c>
      <c r="E20" t="s">
        <v>72</v>
      </c>
      <c r="F20">
        <v>4</v>
      </c>
      <c r="G20" s="3">
        <v>0.05</v>
      </c>
      <c r="H20" t="s">
        <v>53</v>
      </c>
      <c r="I20" t="s">
        <v>27</v>
      </c>
      <c r="J20" t="s">
        <v>59</v>
      </c>
    </row>
    <row r="21" spans="1:10" x14ac:dyDescent="0.45">
      <c r="A21" t="s">
        <v>89</v>
      </c>
      <c r="B21" s="2">
        <v>45840</v>
      </c>
      <c r="C21" t="s">
        <v>90</v>
      </c>
      <c r="D21" t="s">
        <v>91</v>
      </c>
      <c r="E21" t="s">
        <v>72</v>
      </c>
      <c r="F21">
        <v>9</v>
      </c>
      <c r="G21" s="3">
        <v>0.1</v>
      </c>
      <c r="H21" t="s">
        <v>53</v>
      </c>
      <c r="I21" t="s">
        <v>27</v>
      </c>
      <c r="J21" t="s">
        <v>21</v>
      </c>
    </row>
    <row r="22" spans="1:10" x14ac:dyDescent="0.45">
      <c r="A22" t="s">
        <v>92</v>
      </c>
      <c r="B22" s="2">
        <v>46085</v>
      </c>
      <c r="C22" t="s">
        <v>93</v>
      </c>
      <c r="D22" t="s">
        <v>94</v>
      </c>
      <c r="E22" t="s">
        <v>20</v>
      </c>
      <c r="F22">
        <v>11</v>
      </c>
      <c r="G22" s="3">
        <v>0.08</v>
      </c>
      <c r="H22" t="s">
        <v>53</v>
      </c>
      <c r="I22" t="s">
        <v>15</v>
      </c>
      <c r="J22" t="s">
        <v>16</v>
      </c>
    </row>
    <row r="23" spans="1:10" x14ac:dyDescent="0.45">
      <c r="A23" t="s">
        <v>95</v>
      </c>
      <c r="B23" s="2">
        <v>46048</v>
      </c>
      <c r="C23" t="s">
        <v>96</v>
      </c>
      <c r="D23" t="s">
        <v>12</v>
      </c>
      <c r="E23" t="s">
        <v>97</v>
      </c>
      <c r="F23">
        <v>3</v>
      </c>
      <c r="G23" s="3">
        <v>0</v>
      </c>
      <c r="H23" t="s">
        <v>53</v>
      </c>
      <c r="I23" t="s">
        <v>54</v>
      </c>
      <c r="J23" t="s">
        <v>21</v>
      </c>
    </row>
    <row r="24" spans="1:10" x14ac:dyDescent="0.45">
      <c r="A24" t="s">
        <v>98</v>
      </c>
      <c r="B24" s="2">
        <v>45914</v>
      </c>
      <c r="C24" t="s">
        <v>99</v>
      </c>
      <c r="D24" t="s">
        <v>100</v>
      </c>
      <c r="E24" t="s">
        <v>101</v>
      </c>
      <c r="F24">
        <v>3</v>
      </c>
      <c r="G24" s="3">
        <v>0</v>
      </c>
      <c r="H24" t="s">
        <v>53</v>
      </c>
      <c r="I24" t="s">
        <v>27</v>
      </c>
      <c r="J24" t="s">
        <v>21</v>
      </c>
    </row>
    <row r="25" spans="1:10" x14ac:dyDescent="0.45">
      <c r="A25" t="s">
        <v>102</v>
      </c>
      <c r="B25" s="2">
        <v>46121</v>
      </c>
      <c r="C25" t="s">
        <v>103</v>
      </c>
      <c r="D25" t="s">
        <v>51</v>
      </c>
      <c r="E25" t="s">
        <v>58</v>
      </c>
      <c r="F25">
        <v>2</v>
      </c>
      <c r="G25" s="3">
        <v>0.05</v>
      </c>
      <c r="H25" t="s">
        <v>53</v>
      </c>
      <c r="I25" t="s">
        <v>15</v>
      </c>
      <c r="J25" t="s">
        <v>21</v>
      </c>
    </row>
    <row r="26" spans="1:10" x14ac:dyDescent="0.45">
      <c r="A26" t="s">
        <v>104</v>
      </c>
      <c r="B26" s="2">
        <v>45706</v>
      </c>
      <c r="C26" t="s">
        <v>105</v>
      </c>
      <c r="D26" t="s">
        <v>106</v>
      </c>
      <c r="E26" t="s">
        <v>72</v>
      </c>
      <c r="F26">
        <v>7</v>
      </c>
      <c r="G26" s="3">
        <v>0.15</v>
      </c>
      <c r="H26" t="s">
        <v>14</v>
      </c>
      <c r="I26" t="s">
        <v>27</v>
      </c>
      <c r="J26" t="s">
        <v>107</v>
      </c>
    </row>
    <row r="27" spans="1:10" x14ac:dyDescent="0.45">
      <c r="A27" t="s">
        <v>108</v>
      </c>
      <c r="B27" s="2">
        <v>45915</v>
      </c>
      <c r="C27" t="s">
        <v>109</v>
      </c>
      <c r="D27" t="s">
        <v>110</v>
      </c>
      <c r="E27" t="s">
        <v>111</v>
      </c>
      <c r="F27">
        <v>4</v>
      </c>
      <c r="G27" s="3">
        <v>0.2</v>
      </c>
      <c r="H27" t="s">
        <v>53</v>
      </c>
      <c r="I27" t="s">
        <v>27</v>
      </c>
      <c r="J27" t="s">
        <v>59</v>
      </c>
    </row>
    <row r="28" spans="1:10" x14ac:dyDescent="0.45">
      <c r="A28" t="s">
        <v>112</v>
      </c>
      <c r="B28" s="2">
        <v>45856</v>
      </c>
      <c r="C28" t="s">
        <v>113</v>
      </c>
      <c r="D28" t="s">
        <v>114</v>
      </c>
      <c r="E28" t="s">
        <v>115</v>
      </c>
      <c r="F28">
        <v>5</v>
      </c>
      <c r="G28" s="3">
        <v>0.2</v>
      </c>
      <c r="H28" t="s">
        <v>14</v>
      </c>
      <c r="I28" t="s">
        <v>48</v>
      </c>
      <c r="J28" t="s">
        <v>21</v>
      </c>
    </row>
    <row r="29" spans="1:10" x14ac:dyDescent="0.45">
      <c r="A29" t="s">
        <v>116</v>
      </c>
      <c r="B29" s="2">
        <v>46044</v>
      </c>
      <c r="C29" t="s">
        <v>117</v>
      </c>
      <c r="D29" t="s">
        <v>118</v>
      </c>
      <c r="E29" t="s">
        <v>31</v>
      </c>
      <c r="F29">
        <v>1</v>
      </c>
      <c r="G29" s="3">
        <v>0.15</v>
      </c>
      <c r="H29" t="s">
        <v>14</v>
      </c>
      <c r="I29" t="s">
        <v>27</v>
      </c>
      <c r="J29" t="s">
        <v>21</v>
      </c>
    </row>
    <row r="30" spans="1:10" x14ac:dyDescent="0.45">
      <c r="A30" t="s">
        <v>119</v>
      </c>
      <c r="B30" s="2">
        <v>45996</v>
      </c>
      <c r="C30" t="s">
        <v>120</v>
      </c>
      <c r="D30" t="s">
        <v>121</v>
      </c>
      <c r="E30" t="s">
        <v>97</v>
      </c>
      <c r="F30">
        <v>8</v>
      </c>
      <c r="G30" s="3">
        <v>0.03</v>
      </c>
      <c r="H30" t="s">
        <v>14</v>
      </c>
      <c r="I30" t="s">
        <v>27</v>
      </c>
      <c r="J30" t="s">
        <v>21</v>
      </c>
    </row>
    <row r="31" spans="1:10" x14ac:dyDescent="0.45">
      <c r="A31" t="s">
        <v>122</v>
      </c>
      <c r="B31" s="2">
        <v>45966</v>
      </c>
      <c r="C31" t="s">
        <v>123</v>
      </c>
      <c r="D31" t="s">
        <v>34</v>
      </c>
      <c r="E31" t="s">
        <v>20</v>
      </c>
      <c r="F31">
        <v>8</v>
      </c>
      <c r="G31" s="3">
        <v>0.1</v>
      </c>
      <c r="H31" t="s">
        <v>14</v>
      </c>
      <c r="I31" t="s">
        <v>27</v>
      </c>
      <c r="J31" t="s">
        <v>21</v>
      </c>
    </row>
    <row r="32" spans="1:10" x14ac:dyDescent="0.45">
      <c r="A32" t="s">
        <v>124</v>
      </c>
      <c r="B32" s="2">
        <v>46175</v>
      </c>
      <c r="C32" t="s">
        <v>125</v>
      </c>
      <c r="D32" t="s">
        <v>126</v>
      </c>
      <c r="E32" t="s">
        <v>127</v>
      </c>
      <c r="F32">
        <v>3</v>
      </c>
      <c r="G32" s="3">
        <v>0.15</v>
      </c>
      <c r="H32" t="s">
        <v>14</v>
      </c>
      <c r="I32" t="s">
        <v>15</v>
      </c>
      <c r="J32" t="s">
        <v>21</v>
      </c>
    </row>
    <row r="33" spans="1:10" x14ac:dyDescent="0.45">
      <c r="A33" t="s">
        <v>128</v>
      </c>
      <c r="B33" s="2">
        <v>45997</v>
      </c>
      <c r="C33" t="s">
        <v>129</v>
      </c>
      <c r="D33" t="s">
        <v>130</v>
      </c>
      <c r="E33" t="s">
        <v>20</v>
      </c>
      <c r="F33">
        <v>6</v>
      </c>
      <c r="G33" s="3">
        <v>0.1</v>
      </c>
      <c r="H33" t="s">
        <v>14</v>
      </c>
      <c r="I33" t="s">
        <v>15</v>
      </c>
      <c r="J33" t="s">
        <v>107</v>
      </c>
    </row>
    <row r="34" spans="1:10" x14ac:dyDescent="0.45">
      <c r="A34" t="s">
        <v>131</v>
      </c>
      <c r="B34" s="2">
        <v>46012</v>
      </c>
      <c r="C34" t="s">
        <v>132</v>
      </c>
      <c r="D34" t="s">
        <v>110</v>
      </c>
      <c r="E34" t="s">
        <v>31</v>
      </c>
      <c r="F34">
        <v>8</v>
      </c>
      <c r="G34" s="3">
        <v>0.05</v>
      </c>
      <c r="H34" t="s">
        <v>26</v>
      </c>
      <c r="I34" t="s">
        <v>54</v>
      </c>
      <c r="J34" t="s">
        <v>107</v>
      </c>
    </row>
    <row r="35" spans="1:10" x14ac:dyDescent="0.45">
      <c r="A35" t="s">
        <v>133</v>
      </c>
      <c r="B35" s="2">
        <v>45774</v>
      </c>
      <c r="C35" t="s">
        <v>134</v>
      </c>
      <c r="D35" t="s">
        <v>135</v>
      </c>
      <c r="E35" t="s">
        <v>136</v>
      </c>
      <c r="F35">
        <v>7</v>
      </c>
      <c r="G35" s="3">
        <v>0.08</v>
      </c>
      <c r="H35" t="s">
        <v>14</v>
      </c>
      <c r="I35" t="s">
        <v>27</v>
      </c>
      <c r="J35" t="s">
        <v>21</v>
      </c>
    </row>
    <row r="36" spans="1:10" x14ac:dyDescent="0.45">
      <c r="A36" t="s">
        <v>137</v>
      </c>
      <c r="B36" s="2">
        <v>46178</v>
      </c>
      <c r="C36" t="s">
        <v>138</v>
      </c>
      <c r="D36" t="s">
        <v>139</v>
      </c>
      <c r="E36" t="s">
        <v>140</v>
      </c>
      <c r="F36">
        <v>8</v>
      </c>
      <c r="G36" s="3">
        <v>0.2</v>
      </c>
      <c r="H36" t="s">
        <v>14</v>
      </c>
      <c r="I36" t="s">
        <v>54</v>
      </c>
      <c r="J36" t="s">
        <v>21</v>
      </c>
    </row>
    <row r="37" spans="1:10" x14ac:dyDescent="0.45">
      <c r="A37" t="s">
        <v>141</v>
      </c>
      <c r="B37" s="2">
        <v>45665</v>
      </c>
      <c r="C37" t="s">
        <v>142</v>
      </c>
      <c r="D37" t="s">
        <v>143</v>
      </c>
      <c r="E37" t="s">
        <v>144</v>
      </c>
      <c r="F37">
        <v>11</v>
      </c>
      <c r="G37" s="3">
        <v>0</v>
      </c>
      <c r="H37" t="s">
        <v>14</v>
      </c>
      <c r="I37" t="s">
        <v>54</v>
      </c>
      <c r="J37" t="s">
        <v>36</v>
      </c>
    </row>
    <row r="38" spans="1:10" x14ac:dyDescent="0.45">
      <c r="A38" t="s">
        <v>145</v>
      </c>
      <c r="B38" s="2">
        <v>46103</v>
      </c>
      <c r="C38" t="s">
        <v>146</v>
      </c>
      <c r="D38" t="s">
        <v>12</v>
      </c>
      <c r="E38" t="s">
        <v>115</v>
      </c>
      <c r="F38">
        <v>11</v>
      </c>
      <c r="G38" s="3">
        <v>0</v>
      </c>
      <c r="H38" t="s">
        <v>53</v>
      </c>
      <c r="I38" t="s">
        <v>54</v>
      </c>
      <c r="J38" t="s">
        <v>21</v>
      </c>
    </row>
    <row r="39" spans="1:10" x14ac:dyDescent="0.45">
      <c r="A39" t="s">
        <v>147</v>
      </c>
      <c r="B39" s="2">
        <v>45747</v>
      </c>
      <c r="C39" t="s">
        <v>67</v>
      </c>
      <c r="D39" t="s">
        <v>148</v>
      </c>
      <c r="E39" t="s">
        <v>35</v>
      </c>
      <c r="F39">
        <v>2</v>
      </c>
      <c r="G39" s="3">
        <v>0</v>
      </c>
      <c r="H39" t="s">
        <v>14</v>
      </c>
      <c r="I39" t="s">
        <v>27</v>
      </c>
      <c r="J39" t="s">
        <v>21</v>
      </c>
    </row>
    <row r="40" spans="1:10" x14ac:dyDescent="0.45">
      <c r="A40" t="s">
        <v>149</v>
      </c>
      <c r="B40" s="2">
        <v>46075</v>
      </c>
      <c r="C40" t="s">
        <v>150</v>
      </c>
      <c r="D40" t="s">
        <v>151</v>
      </c>
      <c r="E40" t="s">
        <v>152</v>
      </c>
      <c r="F40">
        <v>7</v>
      </c>
      <c r="G40" s="3">
        <v>0.2</v>
      </c>
      <c r="H40" t="s">
        <v>53</v>
      </c>
      <c r="I40" t="s">
        <v>15</v>
      </c>
      <c r="J40" t="s">
        <v>21</v>
      </c>
    </row>
    <row r="41" spans="1:10" x14ac:dyDescent="0.45">
      <c r="A41" t="s">
        <v>153</v>
      </c>
      <c r="B41" s="2">
        <v>45664</v>
      </c>
      <c r="C41" t="s">
        <v>154</v>
      </c>
      <c r="D41" t="s">
        <v>155</v>
      </c>
      <c r="E41" t="s">
        <v>52</v>
      </c>
      <c r="F41">
        <v>11</v>
      </c>
      <c r="G41" s="3">
        <v>0</v>
      </c>
      <c r="H41" t="s">
        <v>53</v>
      </c>
      <c r="I41" t="s">
        <v>48</v>
      </c>
      <c r="J41" t="s">
        <v>59</v>
      </c>
    </row>
    <row r="42" spans="1:10" x14ac:dyDescent="0.45">
      <c r="A42" t="s">
        <v>156</v>
      </c>
      <c r="B42" s="2">
        <v>45766</v>
      </c>
      <c r="C42" t="s">
        <v>157</v>
      </c>
      <c r="D42" t="s">
        <v>158</v>
      </c>
      <c r="E42" t="s">
        <v>140</v>
      </c>
      <c r="F42">
        <v>5</v>
      </c>
      <c r="G42" s="3">
        <v>0.08</v>
      </c>
      <c r="H42" t="s">
        <v>53</v>
      </c>
      <c r="I42" t="s">
        <v>27</v>
      </c>
      <c r="J42" t="s">
        <v>59</v>
      </c>
    </row>
    <row r="43" spans="1:10" x14ac:dyDescent="0.45">
      <c r="A43" t="s">
        <v>159</v>
      </c>
      <c r="B43" s="2">
        <v>45689</v>
      </c>
      <c r="C43" t="s">
        <v>160</v>
      </c>
      <c r="D43" t="s">
        <v>161</v>
      </c>
      <c r="E43" t="s">
        <v>136</v>
      </c>
      <c r="F43">
        <v>8</v>
      </c>
      <c r="G43" s="3">
        <v>0.03</v>
      </c>
      <c r="H43" t="s">
        <v>14</v>
      </c>
      <c r="I43" t="s">
        <v>54</v>
      </c>
      <c r="J43" t="s">
        <v>59</v>
      </c>
    </row>
    <row r="44" spans="1:10" x14ac:dyDescent="0.45">
      <c r="A44" t="s">
        <v>162</v>
      </c>
      <c r="B44" s="2">
        <v>45805</v>
      </c>
      <c r="C44" t="s">
        <v>163</v>
      </c>
      <c r="D44" t="s">
        <v>164</v>
      </c>
      <c r="E44" t="s">
        <v>101</v>
      </c>
      <c r="F44">
        <v>5</v>
      </c>
      <c r="G44" s="3">
        <v>0.1</v>
      </c>
      <c r="H44" t="s">
        <v>26</v>
      </c>
      <c r="I44" t="s">
        <v>48</v>
      </c>
      <c r="J44" t="s">
        <v>21</v>
      </c>
    </row>
    <row r="45" spans="1:10" x14ac:dyDescent="0.45">
      <c r="A45" t="s">
        <v>165</v>
      </c>
      <c r="B45" s="2">
        <v>45700</v>
      </c>
      <c r="C45" t="s">
        <v>166</v>
      </c>
      <c r="D45" t="s">
        <v>167</v>
      </c>
      <c r="E45" t="s">
        <v>31</v>
      </c>
      <c r="F45">
        <v>1</v>
      </c>
      <c r="G45" s="3">
        <v>0.15</v>
      </c>
      <c r="H45" t="s">
        <v>14</v>
      </c>
      <c r="I45" t="s">
        <v>48</v>
      </c>
      <c r="J45" t="s">
        <v>21</v>
      </c>
    </row>
    <row r="46" spans="1:10" x14ac:dyDescent="0.45">
      <c r="A46" t="s">
        <v>168</v>
      </c>
      <c r="B46" s="2">
        <v>46080</v>
      </c>
      <c r="C46" t="s">
        <v>169</v>
      </c>
      <c r="D46" t="s">
        <v>170</v>
      </c>
      <c r="E46" t="s">
        <v>115</v>
      </c>
      <c r="F46">
        <v>11</v>
      </c>
      <c r="G46" s="3">
        <v>0.03</v>
      </c>
      <c r="H46" t="s">
        <v>14</v>
      </c>
      <c r="I46" t="s">
        <v>54</v>
      </c>
      <c r="J46" t="s">
        <v>21</v>
      </c>
    </row>
    <row r="47" spans="1:10" x14ac:dyDescent="0.45">
      <c r="A47" t="s">
        <v>171</v>
      </c>
      <c r="B47" s="2">
        <v>45843</v>
      </c>
      <c r="C47" t="s">
        <v>172</v>
      </c>
      <c r="D47" t="s">
        <v>71</v>
      </c>
      <c r="E47" t="s">
        <v>31</v>
      </c>
      <c r="F47">
        <v>11</v>
      </c>
      <c r="G47" s="3">
        <v>0</v>
      </c>
      <c r="H47" t="s">
        <v>53</v>
      </c>
      <c r="I47" t="s">
        <v>15</v>
      </c>
      <c r="J47" t="s">
        <v>21</v>
      </c>
    </row>
    <row r="48" spans="1:10" x14ac:dyDescent="0.45">
      <c r="A48" t="s">
        <v>173</v>
      </c>
      <c r="B48" s="2">
        <v>45726</v>
      </c>
      <c r="C48" t="s">
        <v>157</v>
      </c>
      <c r="D48" t="s">
        <v>65</v>
      </c>
      <c r="E48" t="s">
        <v>20</v>
      </c>
      <c r="F48">
        <v>5</v>
      </c>
      <c r="G48" s="3">
        <v>0</v>
      </c>
      <c r="H48" t="s">
        <v>14</v>
      </c>
      <c r="I48" t="s">
        <v>15</v>
      </c>
      <c r="J48" t="s">
        <v>107</v>
      </c>
    </row>
    <row r="49" spans="1:10" x14ac:dyDescent="0.45">
      <c r="A49" t="s">
        <v>174</v>
      </c>
      <c r="B49" s="2">
        <v>45898</v>
      </c>
      <c r="C49" t="s">
        <v>175</v>
      </c>
      <c r="D49" t="s">
        <v>91</v>
      </c>
      <c r="E49" t="s">
        <v>20</v>
      </c>
      <c r="F49">
        <v>2</v>
      </c>
      <c r="G49" s="3">
        <v>0.08</v>
      </c>
      <c r="H49" t="s">
        <v>53</v>
      </c>
      <c r="I49" t="s">
        <v>54</v>
      </c>
      <c r="J49" t="s">
        <v>21</v>
      </c>
    </row>
    <row r="50" spans="1:10" x14ac:dyDescent="0.45">
      <c r="A50" t="s">
        <v>176</v>
      </c>
      <c r="B50" s="2">
        <v>45971</v>
      </c>
      <c r="C50" t="s">
        <v>74</v>
      </c>
      <c r="D50" t="s">
        <v>148</v>
      </c>
      <c r="E50" t="s">
        <v>82</v>
      </c>
      <c r="F50">
        <v>12</v>
      </c>
      <c r="G50" s="3">
        <v>0.03</v>
      </c>
      <c r="H50" t="s">
        <v>14</v>
      </c>
      <c r="I50" t="s">
        <v>27</v>
      </c>
      <c r="J50" t="s">
        <v>16</v>
      </c>
    </row>
    <row r="51" spans="1:10" x14ac:dyDescent="0.45">
      <c r="A51" t="s">
        <v>177</v>
      </c>
      <c r="B51" s="2">
        <v>45978</v>
      </c>
      <c r="C51" t="s">
        <v>178</v>
      </c>
      <c r="D51" t="s">
        <v>179</v>
      </c>
      <c r="E51" t="s">
        <v>97</v>
      </c>
      <c r="F51">
        <v>4</v>
      </c>
      <c r="G51" s="3">
        <v>0.05</v>
      </c>
      <c r="H51" t="s">
        <v>53</v>
      </c>
      <c r="I51" t="s">
        <v>15</v>
      </c>
      <c r="J51" t="s">
        <v>21</v>
      </c>
    </row>
    <row r="52" spans="1:10" x14ac:dyDescent="0.45">
      <c r="A52" t="s">
        <v>180</v>
      </c>
      <c r="B52" s="2">
        <v>45997</v>
      </c>
      <c r="C52" t="s">
        <v>181</v>
      </c>
      <c r="D52" t="s">
        <v>182</v>
      </c>
      <c r="E52" t="s">
        <v>20</v>
      </c>
      <c r="F52">
        <v>8</v>
      </c>
      <c r="G52" s="3">
        <v>0.2</v>
      </c>
      <c r="H52" t="s">
        <v>14</v>
      </c>
      <c r="I52" t="s">
        <v>27</v>
      </c>
      <c r="J52" t="s">
        <v>21</v>
      </c>
    </row>
    <row r="53" spans="1:10" x14ac:dyDescent="0.45">
      <c r="A53" t="s">
        <v>183</v>
      </c>
      <c r="B53" s="2">
        <v>45741</v>
      </c>
      <c r="C53" t="s">
        <v>184</v>
      </c>
      <c r="D53" t="s">
        <v>185</v>
      </c>
      <c r="E53" t="s">
        <v>25</v>
      </c>
      <c r="F53">
        <v>5</v>
      </c>
      <c r="G53" s="3">
        <v>0.03</v>
      </c>
      <c r="H53" t="s">
        <v>53</v>
      </c>
      <c r="I53" t="s">
        <v>54</v>
      </c>
      <c r="J53" t="s">
        <v>21</v>
      </c>
    </row>
    <row r="54" spans="1:10" x14ac:dyDescent="0.45">
      <c r="A54" t="s">
        <v>186</v>
      </c>
      <c r="B54" s="2">
        <v>45735</v>
      </c>
      <c r="C54" t="s">
        <v>187</v>
      </c>
      <c r="D54" t="s">
        <v>39</v>
      </c>
      <c r="E54" t="s">
        <v>111</v>
      </c>
      <c r="F54">
        <v>1</v>
      </c>
      <c r="G54" s="3">
        <v>0</v>
      </c>
      <c r="H54" t="s">
        <v>53</v>
      </c>
      <c r="I54" t="s">
        <v>15</v>
      </c>
      <c r="J54" t="s">
        <v>59</v>
      </c>
    </row>
    <row r="55" spans="1:10" x14ac:dyDescent="0.45">
      <c r="A55" t="s">
        <v>188</v>
      </c>
      <c r="B55" s="2">
        <v>45924</v>
      </c>
      <c r="C55" t="s">
        <v>189</v>
      </c>
      <c r="D55" t="s">
        <v>51</v>
      </c>
      <c r="E55" t="s">
        <v>52</v>
      </c>
      <c r="F55">
        <v>9</v>
      </c>
      <c r="G55" s="3">
        <v>0.2</v>
      </c>
      <c r="H55" t="s">
        <v>53</v>
      </c>
      <c r="I55" t="s">
        <v>54</v>
      </c>
      <c r="J55" t="s">
        <v>21</v>
      </c>
    </row>
    <row r="56" spans="1:10" x14ac:dyDescent="0.45">
      <c r="A56" t="s">
        <v>190</v>
      </c>
      <c r="B56" s="2">
        <v>45955</v>
      </c>
      <c r="C56" t="s">
        <v>42</v>
      </c>
      <c r="D56" t="s">
        <v>191</v>
      </c>
      <c r="E56" t="s">
        <v>111</v>
      </c>
      <c r="F56">
        <v>3</v>
      </c>
      <c r="G56" s="3">
        <v>0.2</v>
      </c>
      <c r="H56" t="s">
        <v>14</v>
      </c>
      <c r="I56" t="s">
        <v>48</v>
      </c>
      <c r="J56" t="s">
        <v>21</v>
      </c>
    </row>
    <row r="57" spans="1:10" x14ac:dyDescent="0.45">
      <c r="A57" t="s">
        <v>192</v>
      </c>
      <c r="B57" s="2">
        <v>45902</v>
      </c>
      <c r="C57" t="s">
        <v>193</v>
      </c>
      <c r="D57" t="s">
        <v>110</v>
      </c>
      <c r="E57" t="s">
        <v>20</v>
      </c>
      <c r="F57">
        <v>10</v>
      </c>
      <c r="G57" s="3">
        <v>0.03</v>
      </c>
      <c r="H57" t="s">
        <v>53</v>
      </c>
      <c r="I57" t="s">
        <v>54</v>
      </c>
      <c r="J57" t="s">
        <v>21</v>
      </c>
    </row>
    <row r="58" spans="1:10" x14ac:dyDescent="0.45">
      <c r="A58" t="s">
        <v>194</v>
      </c>
      <c r="B58" s="2">
        <v>45807</v>
      </c>
      <c r="C58" t="s">
        <v>195</v>
      </c>
      <c r="D58" t="s">
        <v>196</v>
      </c>
      <c r="E58" t="s">
        <v>197</v>
      </c>
      <c r="F58">
        <v>12</v>
      </c>
      <c r="G58" s="3">
        <v>0.2</v>
      </c>
      <c r="H58" t="s">
        <v>26</v>
      </c>
      <c r="I58" t="s">
        <v>48</v>
      </c>
      <c r="J58" t="s">
        <v>21</v>
      </c>
    </row>
    <row r="59" spans="1:10" x14ac:dyDescent="0.45">
      <c r="A59" t="s">
        <v>198</v>
      </c>
      <c r="B59" s="2">
        <v>45928</v>
      </c>
      <c r="C59" t="s">
        <v>199</v>
      </c>
      <c r="D59" t="s">
        <v>151</v>
      </c>
      <c r="E59" t="s">
        <v>127</v>
      </c>
      <c r="F59">
        <v>6</v>
      </c>
      <c r="G59" s="3">
        <v>0.05</v>
      </c>
      <c r="H59" t="s">
        <v>14</v>
      </c>
      <c r="I59" t="s">
        <v>54</v>
      </c>
      <c r="J59" t="s">
        <v>21</v>
      </c>
    </row>
    <row r="60" spans="1:10" x14ac:dyDescent="0.45">
      <c r="A60" t="s">
        <v>200</v>
      </c>
      <c r="B60" s="2">
        <v>46138</v>
      </c>
      <c r="C60" t="s">
        <v>201</v>
      </c>
      <c r="D60" t="s">
        <v>202</v>
      </c>
      <c r="E60" t="s">
        <v>136</v>
      </c>
      <c r="F60">
        <v>8</v>
      </c>
      <c r="G60" s="3">
        <v>0</v>
      </c>
      <c r="H60" t="s">
        <v>14</v>
      </c>
      <c r="I60" t="s">
        <v>27</v>
      </c>
      <c r="J60" t="s">
        <v>21</v>
      </c>
    </row>
    <row r="61" spans="1:10" x14ac:dyDescent="0.45">
      <c r="A61" t="s">
        <v>203</v>
      </c>
      <c r="B61" s="2">
        <v>45927</v>
      </c>
      <c r="C61" t="s">
        <v>204</v>
      </c>
      <c r="D61" t="s">
        <v>205</v>
      </c>
      <c r="E61" t="s">
        <v>111</v>
      </c>
      <c r="F61">
        <v>10</v>
      </c>
      <c r="G61" s="3">
        <v>0.03</v>
      </c>
      <c r="H61" t="s">
        <v>14</v>
      </c>
      <c r="I61" t="s">
        <v>15</v>
      </c>
      <c r="J61" t="s">
        <v>21</v>
      </c>
    </row>
    <row r="62" spans="1:10" x14ac:dyDescent="0.45">
      <c r="A62" t="s">
        <v>206</v>
      </c>
      <c r="B62" s="2">
        <v>45915</v>
      </c>
      <c r="C62" t="s">
        <v>207</v>
      </c>
      <c r="D62" t="s">
        <v>39</v>
      </c>
      <c r="E62" t="s">
        <v>140</v>
      </c>
      <c r="F62">
        <v>7</v>
      </c>
      <c r="G62" s="3">
        <v>0.05</v>
      </c>
      <c r="H62" t="s">
        <v>14</v>
      </c>
      <c r="I62" t="s">
        <v>27</v>
      </c>
      <c r="J62" t="s">
        <v>16</v>
      </c>
    </row>
    <row r="63" spans="1:10" x14ac:dyDescent="0.45">
      <c r="A63" t="s">
        <v>208</v>
      </c>
      <c r="B63" s="2">
        <v>45664</v>
      </c>
      <c r="C63" t="s">
        <v>209</v>
      </c>
      <c r="D63" t="s">
        <v>210</v>
      </c>
      <c r="E63" t="s">
        <v>47</v>
      </c>
      <c r="F63">
        <v>9</v>
      </c>
      <c r="G63" s="3">
        <v>0.03</v>
      </c>
      <c r="H63" t="s">
        <v>14</v>
      </c>
      <c r="I63" t="s">
        <v>54</v>
      </c>
      <c r="J63" t="s">
        <v>21</v>
      </c>
    </row>
    <row r="64" spans="1:10" x14ac:dyDescent="0.45">
      <c r="A64" t="s">
        <v>211</v>
      </c>
      <c r="B64" s="2">
        <v>45811</v>
      </c>
      <c r="C64" t="s">
        <v>212</v>
      </c>
      <c r="D64" t="s">
        <v>205</v>
      </c>
      <c r="E64" t="s">
        <v>115</v>
      </c>
      <c r="F64">
        <v>3</v>
      </c>
      <c r="G64" s="3">
        <v>0.03</v>
      </c>
      <c r="H64" t="s">
        <v>14</v>
      </c>
      <c r="I64" t="s">
        <v>48</v>
      </c>
      <c r="J64" t="s">
        <v>21</v>
      </c>
    </row>
    <row r="65" spans="1:10" x14ac:dyDescent="0.45">
      <c r="A65" t="s">
        <v>213</v>
      </c>
      <c r="B65" s="2">
        <v>45774</v>
      </c>
      <c r="C65" t="s">
        <v>214</v>
      </c>
      <c r="D65" t="s">
        <v>148</v>
      </c>
      <c r="E65" t="s">
        <v>111</v>
      </c>
      <c r="F65">
        <v>8</v>
      </c>
      <c r="G65" s="3">
        <v>0.2</v>
      </c>
      <c r="H65" t="s">
        <v>14</v>
      </c>
      <c r="I65" t="s">
        <v>54</v>
      </c>
      <c r="J65" t="s">
        <v>21</v>
      </c>
    </row>
    <row r="66" spans="1:10" x14ac:dyDescent="0.45">
      <c r="A66" t="s">
        <v>215</v>
      </c>
      <c r="B66" s="2">
        <v>45702</v>
      </c>
      <c r="C66" t="s">
        <v>216</v>
      </c>
      <c r="D66" t="s">
        <v>217</v>
      </c>
      <c r="E66" t="s">
        <v>218</v>
      </c>
      <c r="F66">
        <v>3</v>
      </c>
      <c r="G66" s="3">
        <v>0.03</v>
      </c>
      <c r="H66" t="s">
        <v>14</v>
      </c>
      <c r="I66" t="s">
        <v>48</v>
      </c>
      <c r="J66" t="s">
        <v>36</v>
      </c>
    </row>
    <row r="67" spans="1:10" x14ac:dyDescent="0.45">
      <c r="A67" t="s">
        <v>219</v>
      </c>
      <c r="B67" s="2">
        <v>45922</v>
      </c>
      <c r="C67" t="s">
        <v>220</v>
      </c>
      <c r="D67" t="s">
        <v>221</v>
      </c>
      <c r="E67" t="s">
        <v>144</v>
      </c>
      <c r="F67">
        <v>3</v>
      </c>
      <c r="G67" s="3">
        <v>0.15</v>
      </c>
      <c r="H67" t="s">
        <v>14</v>
      </c>
      <c r="I67" t="s">
        <v>48</v>
      </c>
      <c r="J67" t="s">
        <v>36</v>
      </c>
    </row>
    <row r="68" spans="1:10" x14ac:dyDescent="0.45">
      <c r="A68" t="s">
        <v>222</v>
      </c>
      <c r="B68" s="2">
        <v>45879</v>
      </c>
      <c r="C68" t="s">
        <v>223</v>
      </c>
      <c r="D68" t="s">
        <v>106</v>
      </c>
      <c r="E68" t="s">
        <v>127</v>
      </c>
      <c r="F68">
        <v>8</v>
      </c>
      <c r="G68" s="3">
        <v>0.2</v>
      </c>
      <c r="H68" t="s">
        <v>53</v>
      </c>
      <c r="I68" t="s">
        <v>54</v>
      </c>
      <c r="J68" t="s">
        <v>21</v>
      </c>
    </row>
    <row r="69" spans="1:10" x14ac:dyDescent="0.45">
      <c r="A69" t="s">
        <v>224</v>
      </c>
      <c r="B69" s="2">
        <v>45844</v>
      </c>
      <c r="C69" t="s">
        <v>216</v>
      </c>
      <c r="D69" t="s">
        <v>81</v>
      </c>
      <c r="E69" t="s">
        <v>225</v>
      </c>
      <c r="F69">
        <v>10</v>
      </c>
      <c r="G69" s="3">
        <v>0.08</v>
      </c>
      <c r="H69" t="s">
        <v>14</v>
      </c>
      <c r="I69" t="s">
        <v>27</v>
      </c>
      <c r="J69" t="s">
        <v>36</v>
      </c>
    </row>
    <row r="70" spans="1:10" x14ac:dyDescent="0.45">
      <c r="A70" t="s">
        <v>226</v>
      </c>
      <c r="B70" s="2">
        <v>45893</v>
      </c>
      <c r="C70" t="s">
        <v>227</v>
      </c>
      <c r="D70" t="s">
        <v>191</v>
      </c>
      <c r="E70" t="s">
        <v>127</v>
      </c>
      <c r="F70">
        <v>7</v>
      </c>
      <c r="G70" s="3">
        <v>0.15</v>
      </c>
      <c r="H70" t="s">
        <v>14</v>
      </c>
      <c r="I70" t="s">
        <v>48</v>
      </c>
      <c r="J70" t="s">
        <v>21</v>
      </c>
    </row>
    <row r="71" spans="1:10" x14ac:dyDescent="0.45">
      <c r="A71" t="s">
        <v>228</v>
      </c>
      <c r="B71" s="2">
        <v>45756</v>
      </c>
      <c r="C71" t="s">
        <v>229</v>
      </c>
      <c r="D71" t="s">
        <v>230</v>
      </c>
      <c r="E71" t="s">
        <v>225</v>
      </c>
      <c r="F71">
        <v>3</v>
      </c>
      <c r="G71" s="3">
        <v>0.2</v>
      </c>
      <c r="H71" t="s">
        <v>26</v>
      </c>
      <c r="I71" t="s">
        <v>48</v>
      </c>
      <c r="J71" t="s">
        <v>36</v>
      </c>
    </row>
    <row r="72" spans="1:10" x14ac:dyDescent="0.45">
      <c r="A72" t="s">
        <v>231</v>
      </c>
      <c r="B72" s="2">
        <v>45778</v>
      </c>
      <c r="C72" t="s">
        <v>232</v>
      </c>
      <c r="D72" t="s">
        <v>233</v>
      </c>
      <c r="E72" t="s">
        <v>40</v>
      </c>
      <c r="F72">
        <v>2</v>
      </c>
      <c r="G72" s="3">
        <v>0.2</v>
      </c>
      <c r="H72" t="s">
        <v>53</v>
      </c>
      <c r="I72" t="s">
        <v>48</v>
      </c>
      <c r="J72" t="s">
        <v>36</v>
      </c>
    </row>
    <row r="73" spans="1:10" x14ac:dyDescent="0.45">
      <c r="A73" t="s">
        <v>234</v>
      </c>
      <c r="B73" s="2">
        <v>46088</v>
      </c>
      <c r="C73" t="s">
        <v>123</v>
      </c>
      <c r="D73" t="s">
        <v>235</v>
      </c>
      <c r="E73" t="s">
        <v>140</v>
      </c>
      <c r="F73">
        <v>6</v>
      </c>
      <c r="G73" s="3">
        <v>0</v>
      </c>
      <c r="H73" t="s">
        <v>53</v>
      </c>
      <c r="I73" t="s">
        <v>15</v>
      </c>
      <c r="J73" t="s">
        <v>21</v>
      </c>
    </row>
    <row r="74" spans="1:10" x14ac:dyDescent="0.45">
      <c r="A74" t="s">
        <v>236</v>
      </c>
      <c r="B74" s="2">
        <v>46048</v>
      </c>
      <c r="C74" t="s">
        <v>237</v>
      </c>
      <c r="D74" t="s">
        <v>238</v>
      </c>
      <c r="E74" t="s">
        <v>40</v>
      </c>
      <c r="F74">
        <v>6</v>
      </c>
      <c r="G74" s="3">
        <v>0</v>
      </c>
      <c r="H74" t="s">
        <v>14</v>
      </c>
      <c r="I74" t="s">
        <v>27</v>
      </c>
      <c r="J74" t="s">
        <v>21</v>
      </c>
    </row>
    <row r="75" spans="1:10" x14ac:dyDescent="0.45">
      <c r="A75" t="s">
        <v>239</v>
      </c>
      <c r="B75" s="2">
        <v>46076</v>
      </c>
      <c r="C75" t="s">
        <v>240</v>
      </c>
      <c r="D75" t="s">
        <v>241</v>
      </c>
      <c r="E75" t="s">
        <v>101</v>
      </c>
      <c r="F75">
        <v>5</v>
      </c>
      <c r="G75" s="3">
        <v>0.05</v>
      </c>
      <c r="H75" t="s">
        <v>14</v>
      </c>
      <c r="I75" t="s">
        <v>48</v>
      </c>
      <c r="J75" t="s">
        <v>21</v>
      </c>
    </row>
    <row r="76" spans="1:10" x14ac:dyDescent="0.45">
      <c r="A76" t="s">
        <v>242</v>
      </c>
      <c r="B76" s="2">
        <v>46042</v>
      </c>
      <c r="C76" t="s">
        <v>243</v>
      </c>
      <c r="D76" t="s">
        <v>126</v>
      </c>
      <c r="E76" t="s">
        <v>97</v>
      </c>
      <c r="F76">
        <v>11</v>
      </c>
      <c r="G76" s="3">
        <v>0.05</v>
      </c>
      <c r="H76" t="s">
        <v>53</v>
      </c>
      <c r="I76" t="s">
        <v>27</v>
      </c>
      <c r="J76" t="s">
        <v>21</v>
      </c>
    </row>
    <row r="77" spans="1:10" x14ac:dyDescent="0.45">
      <c r="A77" t="s">
        <v>244</v>
      </c>
      <c r="B77" s="2">
        <v>45917</v>
      </c>
      <c r="C77" t="s">
        <v>245</v>
      </c>
      <c r="D77" t="s">
        <v>246</v>
      </c>
      <c r="E77" t="s">
        <v>13</v>
      </c>
      <c r="F77">
        <v>5</v>
      </c>
      <c r="G77" s="3">
        <v>0.15</v>
      </c>
      <c r="H77" t="s">
        <v>14</v>
      </c>
      <c r="I77" t="s">
        <v>27</v>
      </c>
      <c r="J77" t="s">
        <v>107</v>
      </c>
    </row>
    <row r="78" spans="1:10" x14ac:dyDescent="0.45">
      <c r="A78" t="s">
        <v>247</v>
      </c>
      <c r="B78" s="2">
        <v>46152</v>
      </c>
      <c r="C78" t="s">
        <v>248</v>
      </c>
      <c r="D78" t="s">
        <v>249</v>
      </c>
      <c r="E78" t="s">
        <v>13</v>
      </c>
      <c r="F78">
        <v>3</v>
      </c>
      <c r="G78" s="3">
        <v>0.1</v>
      </c>
      <c r="H78" t="s">
        <v>14</v>
      </c>
      <c r="I78" t="s">
        <v>15</v>
      </c>
      <c r="J78" t="s">
        <v>21</v>
      </c>
    </row>
    <row r="79" spans="1:10" x14ac:dyDescent="0.45">
      <c r="A79" t="s">
        <v>250</v>
      </c>
      <c r="B79" s="2">
        <v>46065</v>
      </c>
      <c r="C79" t="s">
        <v>251</v>
      </c>
      <c r="D79" t="s">
        <v>94</v>
      </c>
      <c r="E79" t="s">
        <v>58</v>
      </c>
      <c r="F79">
        <v>12</v>
      </c>
      <c r="G79" s="3">
        <v>0.03</v>
      </c>
      <c r="H79" t="s">
        <v>53</v>
      </c>
      <c r="I79" t="s">
        <v>48</v>
      </c>
      <c r="J79" t="s">
        <v>59</v>
      </c>
    </row>
    <row r="80" spans="1:10" x14ac:dyDescent="0.45">
      <c r="A80" t="s">
        <v>252</v>
      </c>
      <c r="B80" s="2">
        <v>45877</v>
      </c>
      <c r="C80" t="s">
        <v>253</v>
      </c>
      <c r="D80" t="s">
        <v>100</v>
      </c>
      <c r="E80" t="s">
        <v>31</v>
      </c>
      <c r="F80">
        <v>9</v>
      </c>
      <c r="G80" s="3">
        <v>0.15</v>
      </c>
      <c r="H80" t="s">
        <v>53</v>
      </c>
      <c r="I80" t="s">
        <v>48</v>
      </c>
      <c r="J80" t="s">
        <v>21</v>
      </c>
    </row>
    <row r="81" spans="1:10" x14ac:dyDescent="0.45">
      <c r="A81" t="s">
        <v>254</v>
      </c>
      <c r="B81" s="2">
        <v>45806</v>
      </c>
      <c r="C81" t="s">
        <v>255</v>
      </c>
      <c r="D81" t="s">
        <v>256</v>
      </c>
      <c r="E81" t="s">
        <v>127</v>
      </c>
      <c r="F81">
        <v>8</v>
      </c>
      <c r="G81" s="3">
        <v>0.15</v>
      </c>
      <c r="H81" t="s">
        <v>14</v>
      </c>
      <c r="I81" t="s">
        <v>27</v>
      </c>
      <c r="J81" t="s">
        <v>21</v>
      </c>
    </row>
    <row r="82" spans="1:10" x14ac:dyDescent="0.45">
      <c r="A82" t="s">
        <v>257</v>
      </c>
      <c r="B82" s="2">
        <v>46051</v>
      </c>
      <c r="C82" t="s">
        <v>258</v>
      </c>
      <c r="D82" t="s">
        <v>114</v>
      </c>
      <c r="E82" t="s">
        <v>35</v>
      </c>
      <c r="F82">
        <v>7</v>
      </c>
      <c r="G82" s="3">
        <v>0.08</v>
      </c>
      <c r="H82" t="s">
        <v>53</v>
      </c>
      <c r="I82" t="s">
        <v>48</v>
      </c>
      <c r="J82" t="s">
        <v>107</v>
      </c>
    </row>
    <row r="83" spans="1:10" x14ac:dyDescent="0.45">
      <c r="A83" t="s">
        <v>259</v>
      </c>
      <c r="B83" s="2">
        <v>46164</v>
      </c>
      <c r="C83" t="s">
        <v>260</v>
      </c>
      <c r="D83" t="s">
        <v>185</v>
      </c>
      <c r="E83" t="s">
        <v>25</v>
      </c>
      <c r="F83">
        <v>8</v>
      </c>
      <c r="G83" s="3">
        <v>0</v>
      </c>
      <c r="H83" t="s">
        <v>14</v>
      </c>
      <c r="I83" t="s">
        <v>27</v>
      </c>
      <c r="J83" t="s">
        <v>21</v>
      </c>
    </row>
    <row r="84" spans="1:10" x14ac:dyDescent="0.45">
      <c r="A84" t="s">
        <v>261</v>
      </c>
      <c r="B84" s="2">
        <v>46186</v>
      </c>
      <c r="C84" t="s">
        <v>105</v>
      </c>
      <c r="D84" t="s">
        <v>81</v>
      </c>
      <c r="E84" t="s">
        <v>140</v>
      </c>
      <c r="F84">
        <v>12</v>
      </c>
      <c r="G84" s="3">
        <v>0.05</v>
      </c>
      <c r="H84" t="s">
        <v>53</v>
      </c>
      <c r="I84" t="s">
        <v>48</v>
      </c>
      <c r="J84" t="s">
        <v>21</v>
      </c>
    </row>
    <row r="85" spans="1:10" x14ac:dyDescent="0.45">
      <c r="A85" t="s">
        <v>262</v>
      </c>
      <c r="B85" s="2">
        <v>45746</v>
      </c>
      <c r="C85" t="s">
        <v>263</v>
      </c>
      <c r="D85" t="s">
        <v>256</v>
      </c>
      <c r="E85" t="s">
        <v>144</v>
      </c>
      <c r="F85">
        <v>5</v>
      </c>
      <c r="G85" s="3">
        <v>0.15</v>
      </c>
      <c r="H85" t="s">
        <v>14</v>
      </c>
      <c r="I85" t="s">
        <v>15</v>
      </c>
      <c r="J85" t="s">
        <v>21</v>
      </c>
    </row>
    <row r="86" spans="1:10" x14ac:dyDescent="0.45">
      <c r="A86" t="s">
        <v>264</v>
      </c>
      <c r="B86" s="2">
        <v>45728</v>
      </c>
      <c r="C86" t="s">
        <v>265</v>
      </c>
      <c r="D86" t="s">
        <v>126</v>
      </c>
      <c r="E86" t="s">
        <v>97</v>
      </c>
      <c r="F86">
        <v>2</v>
      </c>
      <c r="G86" s="3">
        <v>0.08</v>
      </c>
      <c r="H86" t="s">
        <v>53</v>
      </c>
      <c r="I86" t="s">
        <v>27</v>
      </c>
      <c r="J86" t="s">
        <v>21</v>
      </c>
    </row>
    <row r="87" spans="1:10" x14ac:dyDescent="0.45">
      <c r="A87" t="s">
        <v>266</v>
      </c>
      <c r="B87" s="2">
        <v>45857</v>
      </c>
      <c r="C87" t="s">
        <v>267</v>
      </c>
      <c r="D87" t="s">
        <v>205</v>
      </c>
      <c r="E87" t="s">
        <v>218</v>
      </c>
      <c r="F87">
        <v>8</v>
      </c>
      <c r="G87" s="3">
        <v>0.15</v>
      </c>
      <c r="H87" t="s">
        <v>14</v>
      </c>
      <c r="I87" t="s">
        <v>27</v>
      </c>
      <c r="J87" t="s">
        <v>21</v>
      </c>
    </row>
    <row r="88" spans="1:10" x14ac:dyDescent="0.45">
      <c r="A88" t="s">
        <v>268</v>
      </c>
      <c r="B88" s="2">
        <v>45732</v>
      </c>
      <c r="C88" t="s">
        <v>269</v>
      </c>
      <c r="D88" t="s">
        <v>12</v>
      </c>
      <c r="E88" t="s">
        <v>52</v>
      </c>
      <c r="F88">
        <v>9</v>
      </c>
      <c r="G88" s="3">
        <v>0.08</v>
      </c>
      <c r="H88" t="s">
        <v>14</v>
      </c>
      <c r="I88" t="s">
        <v>48</v>
      </c>
      <c r="J88" t="s">
        <v>16</v>
      </c>
    </row>
    <row r="89" spans="1:10" x14ac:dyDescent="0.45">
      <c r="A89" t="s">
        <v>270</v>
      </c>
      <c r="B89" s="2">
        <v>45914</v>
      </c>
      <c r="C89" t="s">
        <v>271</v>
      </c>
      <c r="D89" t="s">
        <v>272</v>
      </c>
      <c r="E89" t="s">
        <v>197</v>
      </c>
      <c r="F89">
        <v>12</v>
      </c>
      <c r="G89" s="3">
        <v>0.2</v>
      </c>
      <c r="H89" t="s">
        <v>26</v>
      </c>
      <c r="I89" t="s">
        <v>15</v>
      </c>
      <c r="J89" t="s">
        <v>59</v>
      </c>
    </row>
    <row r="90" spans="1:10" x14ac:dyDescent="0.45">
      <c r="A90" t="s">
        <v>273</v>
      </c>
      <c r="B90" s="2">
        <v>46127</v>
      </c>
      <c r="C90" t="s">
        <v>274</v>
      </c>
      <c r="D90" t="s">
        <v>57</v>
      </c>
      <c r="E90" t="s">
        <v>40</v>
      </c>
      <c r="F90">
        <v>11</v>
      </c>
      <c r="G90" s="3">
        <v>0.2</v>
      </c>
      <c r="H90" t="s">
        <v>53</v>
      </c>
      <c r="I90" t="s">
        <v>48</v>
      </c>
      <c r="J90" t="s">
        <v>21</v>
      </c>
    </row>
    <row r="91" spans="1:10" x14ac:dyDescent="0.45">
      <c r="A91" t="s">
        <v>275</v>
      </c>
      <c r="B91" s="2">
        <v>45883</v>
      </c>
      <c r="C91" t="s">
        <v>276</v>
      </c>
      <c r="D91" t="s">
        <v>277</v>
      </c>
      <c r="E91" t="s">
        <v>136</v>
      </c>
      <c r="F91">
        <v>11</v>
      </c>
      <c r="G91" s="3">
        <v>0.05</v>
      </c>
      <c r="H91" t="s">
        <v>53</v>
      </c>
      <c r="I91" t="s">
        <v>15</v>
      </c>
      <c r="J91" t="s">
        <v>107</v>
      </c>
    </row>
    <row r="92" spans="1:10" x14ac:dyDescent="0.45">
      <c r="A92" t="s">
        <v>278</v>
      </c>
      <c r="B92" s="2">
        <v>45927</v>
      </c>
      <c r="C92" t="s">
        <v>138</v>
      </c>
      <c r="D92" t="s">
        <v>272</v>
      </c>
      <c r="E92" t="s">
        <v>97</v>
      </c>
      <c r="F92">
        <v>4</v>
      </c>
      <c r="G92" s="3">
        <v>0.08</v>
      </c>
      <c r="H92" t="s">
        <v>14</v>
      </c>
      <c r="I92" t="s">
        <v>27</v>
      </c>
      <c r="J92" t="s">
        <v>21</v>
      </c>
    </row>
    <row r="93" spans="1:10" x14ac:dyDescent="0.45">
      <c r="A93" t="s">
        <v>279</v>
      </c>
      <c r="B93" s="2">
        <v>46020</v>
      </c>
      <c r="C93" t="s">
        <v>195</v>
      </c>
      <c r="D93" t="s">
        <v>280</v>
      </c>
      <c r="E93" t="s">
        <v>281</v>
      </c>
      <c r="F93">
        <v>4</v>
      </c>
      <c r="G93" s="3">
        <v>0.08</v>
      </c>
      <c r="H93" t="s">
        <v>14</v>
      </c>
      <c r="I93" t="s">
        <v>54</v>
      </c>
      <c r="J93" t="s">
        <v>21</v>
      </c>
    </row>
    <row r="94" spans="1:10" x14ac:dyDescent="0.45">
      <c r="A94" t="s">
        <v>282</v>
      </c>
      <c r="B94" s="2">
        <v>45905</v>
      </c>
      <c r="C94" t="s">
        <v>265</v>
      </c>
      <c r="D94" t="s">
        <v>283</v>
      </c>
      <c r="E94" t="s">
        <v>111</v>
      </c>
      <c r="F94">
        <v>5</v>
      </c>
      <c r="G94" s="3">
        <v>0.05</v>
      </c>
      <c r="H94" t="s">
        <v>14</v>
      </c>
      <c r="I94" t="s">
        <v>54</v>
      </c>
      <c r="J94" t="s">
        <v>16</v>
      </c>
    </row>
    <row r="95" spans="1:10" x14ac:dyDescent="0.45">
      <c r="A95" t="s">
        <v>284</v>
      </c>
      <c r="B95" s="2">
        <v>45767</v>
      </c>
      <c r="C95" t="s">
        <v>175</v>
      </c>
      <c r="D95" t="s">
        <v>246</v>
      </c>
      <c r="E95" t="s">
        <v>40</v>
      </c>
      <c r="F95">
        <v>2</v>
      </c>
      <c r="G95" s="3">
        <v>0</v>
      </c>
      <c r="H95" t="s">
        <v>53</v>
      </c>
      <c r="I95" t="s">
        <v>15</v>
      </c>
      <c r="J95" t="s">
        <v>21</v>
      </c>
    </row>
    <row r="96" spans="1:10" x14ac:dyDescent="0.45">
      <c r="A96" t="s">
        <v>285</v>
      </c>
      <c r="B96" s="2">
        <v>46151</v>
      </c>
      <c r="C96" t="s">
        <v>286</v>
      </c>
      <c r="D96" t="s">
        <v>164</v>
      </c>
      <c r="E96" t="s">
        <v>35</v>
      </c>
      <c r="F96">
        <v>6</v>
      </c>
      <c r="G96" s="3">
        <v>0.1</v>
      </c>
      <c r="H96" t="s">
        <v>14</v>
      </c>
      <c r="I96" t="s">
        <v>27</v>
      </c>
      <c r="J96" t="s">
        <v>21</v>
      </c>
    </row>
    <row r="97" spans="1:10" x14ac:dyDescent="0.45">
      <c r="A97" t="s">
        <v>287</v>
      </c>
      <c r="B97" s="2">
        <v>46065</v>
      </c>
      <c r="C97" t="s">
        <v>286</v>
      </c>
      <c r="D97" t="s">
        <v>118</v>
      </c>
      <c r="E97" t="s">
        <v>152</v>
      </c>
      <c r="F97">
        <v>4</v>
      </c>
      <c r="G97" s="3">
        <v>0.03</v>
      </c>
      <c r="H97" t="s">
        <v>14</v>
      </c>
      <c r="I97" t="s">
        <v>15</v>
      </c>
      <c r="J97" t="s">
        <v>21</v>
      </c>
    </row>
    <row r="98" spans="1:10" x14ac:dyDescent="0.45">
      <c r="A98" t="s">
        <v>288</v>
      </c>
      <c r="B98" s="2">
        <v>46013</v>
      </c>
      <c r="C98" t="s">
        <v>289</v>
      </c>
      <c r="D98" t="s">
        <v>51</v>
      </c>
      <c r="E98" t="s">
        <v>140</v>
      </c>
      <c r="F98">
        <v>7</v>
      </c>
      <c r="G98" s="3">
        <v>0.03</v>
      </c>
      <c r="H98" t="s">
        <v>14</v>
      </c>
      <c r="I98" t="s">
        <v>48</v>
      </c>
      <c r="J98" t="s">
        <v>59</v>
      </c>
    </row>
    <row r="99" spans="1:10" x14ac:dyDescent="0.45">
      <c r="A99" t="s">
        <v>290</v>
      </c>
      <c r="B99" s="2">
        <v>45666</v>
      </c>
      <c r="C99" t="s">
        <v>291</v>
      </c>
      <c r="D99" t="s">
        <v>88</v>
      </c>
      <c r="E99" t="s">
        <v>72</v>
      </c>
      <c r="F99">
        <v>1</v>
      </c>
      <c r="G99" s="3">
        <v>0.05</v>
      </c>
      <c r="H99" t="s">
        <v>14</v>
      </c>
      <c r="I99" t="s">
        <v>48</v>
      </c>
      <c r="J99" t="s">
        <v>21</v>
      </c>
    </row>
    <row r="100" spans="1:10" x14ac:dyDescent="0.45">
      <c r="A100" t="s">
        <v>292</v>
      </c>
      <c r="B100" s="2">
        <v>45927</v>
      </c>
      <c r="C100" t="s">
        <v>18</v>
      </c>
      <c r="D100" t="s">
        <v>24</v>
      </c>
      <c r="E100" t="s">
        <v>144</v>
      </c>
      <c r="F100">
        <v>4</v>
      </c>
      <c r="G100" s="3">
        <v>0.08</v>
      </c>
      <c r="H100" t="s">
        <v>14</v>
      </c>
      <c r="I100" t="s">
        <v>27</v>
      </c>
      <c r="J100" t="s">
        <v>21</v>
      </c>
    </row>
    <row r="101" spans="1:10" x14ac:dyDescent="0.45">
      <c r="A101" t="s">
        <v>293</v>
      </c>
      <c r="B101" s="2">
        <v>46087</v>
      </c>
      <c r="C101" t="s">
        <v>294</v>
      </c>
      <c r="D101" t="s">
        <v>295</v>
      </c>
      <c r="E101" t="s">
        <v>115</v>
      </c>
      <c r="F101">
        <v>12</v>
      </c>
      <c r="G101" s="3">
        <v>0.1</v>
      </c>
      <c r="H101" t="s">
        <v>14</v>
      </c>
      <c r="I101" t="s">
        <v>15</v>
      </c>
      <c r="J101" t="s">
        <v>21</v>
      </c>
    </row>
    <row r="102" spans="1:10" x14ac:dyDescent="0.45">
      <c r="A102" t="s">
        <v>296</v>
      </c>
      <c r="B102" s="2">
        <v>45892</v>
      </c>
      <c r="C102" t="s">
        <v>297</v>
      </c>
      <c r="D102" t="s">
        <v>94</v>
      </c>
      <c r="E102" t="s">
        <v>225</v>
      </c>
      <c r="F102">
        <v>2</v>
      </c>
      <c r="G102" s="3">
        <v>0.08</v>
      </c>
      <c r="H102" t="s">
        <v>53</v>
      </c>
      <c r="I102" t="s">
        <v>15</v>
      </c>
      <c r="J102" t="s">
        <v>36</v>
      </c>
    </row>
    <row r="103" spans="1:10" x14ac:dyDescent="0.45">
      <c r="A103" t="s">
        <v>298</v>
      </c>
      <c r="B103" s="2">
        <v>45811</v>
      </c>
      <c r="C103" t="s">
        <v>299</v>
      </c>
      <c r="D103" t="s">
        <v>167</v>
      </c>
      <c r="E103" t="s">
        <v>111</v>
      </c>
      <c r="F103">
        <v>8</v>
      </c>
      <c r="G103" s="3">
        <v>0</v>
      </c>
      <c r="H103" t="s">
        <v>14</v>
      </c>
      <c r="I103" t="s">
        <v>15</v>
      </c>
      <c r="J103" t="s">
        <v>21</v>
      </c>
    </row>
    <row r="104" spans="1:10" x14ac:dyDescent="0.45">
      <c r="A104" t="s">
        <v>300</v>
      </c>
      <c r="B104" s="2">
        <v>45981</v>
      </c>
      <c r="C104" t="s">
        <v>301</v>
      </c>
      <c r="D104" t="s">
        <v>126</v>
      </c>
      <c r="E104" t="s">
        <v>52</v>
      </c>
      <c r="F104">
        <v>8</v>
      </c>
      <c r="G104" s="3">
        <v>0.08</v>
      </c>
      <c r="H104" t="s">
        <v>14</v>
      </c>
      <c r="I104" t="s">
        <v>48</v>
      </c>
      <c r="J104" t="s">
        <v>21</v>
      </c>
    </row>
    <row r="105" spans="1:10" x14ac:dyDescent="0.45">
      <c r="A105" t="s">
        <v>302</v>
      </c>
      <c r="B105" s="2">
        <v>45878</v>
      </c>
      <c r="C105" t="s">
        <v>303</v>
      </c>
      <c r="D105" t="s">
        <v>100</v>
      </c>
      <c r="E105" t="s">
        <v>35</v>
      </c>
      <c r="F105">
        <v>5</v>
      </c>
      <c r="G105" s="3">
        <v>0.2</v>
      </c>
      <c r="H105" t="s">
        <v>53</v>
      </c>
      <c r="I105" t="s">
        <v>48</v>
      </c>
      <c r="J105" t="s">
        <v>21</v>
      </c>
    </row>
    <row r="106" spans="1:10" x14ac:dyDescent="0.45">
      <c r="A106" t="s">
        <v>304</v>
      </c>
      <c r="B106" s="2">
        <v>46026</v>
      </c>
      <c r="C106" t="s">
        <v>305</v>
      </c>
      <c r="D106" t="s">
        <v>24</v>
      </c>
      <c r="E106" t="s">
        <v>58</v>
      </c>
      <c r="F106">
        <v>9</v>
      </c>
      <c r="G106" s="3">
        <v>0.08</v>
      </c>
      <c r="H106" t="s">
        <v>14</v>
      </c>
      <c r="I106" t="s">
        <v>15</v>
      </c>
      <c r="J106" t="s">
        <v>21</v>
      </c>
    </row>
    <row r="107" spans="1:10" x14ac:dyDescent="0.45">
      <c r="A107" t="s">
        <v>306</v>
      </c>
      <c r="B107" s="2">
        <v>45836</v>
      </c>
      <c r="C107" t="s">
        <v>307</v>
      </c>
      <c r="D107" t="s">
        <v>114</v>
      </c>
      <c r="E107" t="s">
        <v>115</v>
      </c>
      <c r="F107">
        <v>5</v>
      </c>
      <c r="G107" s="3">
        <v>0.1</v>
      </c>
      <c r="H107" t="s">
        <v>14</v>
      </c>
      <c r="I107" t="s">
        <v>15</v>
      </c>
      <c r="J107" t="s">
        <v>16</v>
      </c>
    </row>
    <row r="108" spans="1:10" x14ac:dyDescent="0.45">
      <c r="A108" t="s">
        <v>308</v>
      </c>
      <c r="B108" s="2">
        <v>45951</v>
      </c>
      <c r="C108" t="s">
        <v>253</v>
      </c>
      <c r="D108" t="s">
        <v>241</v>
      </c>
      <c r="E108" t="s">
        <v>136</v>
      </c>
      <c r="F108">
        <v>8</v>
      </c>
      <c r="G108" s="3">
        <v>0.03</v>
      </c>
      <c r="H108" t="s">
        <v>53</v>
      </c>
      <c r="I108" t="s">
        <v>27</v>
      </c>
      <c r="J108" t="s">
        <v>21</v>
      </c>
    </row>
    <row r="109" spans="1:10" x14ac:dyDescent="0.45">
      <c r="A109" t="s">
        <v>309</v>
      </c>
      <c r="B109" s="2">
        <v>45731</v>
      </c>
      <c r="C109" t="s">
        <v>18</v>
      </c>
      <c r="D109" t="s">
        <v>94</v>
      </c>
      <c r="E109" t="s">
        <v>136</v>
      </c>
      <c r="F109">
        <v>2</v>
      </c>
      <c r="G109" s="3">
        <v>0.03</v>
      </c>
      <c r="H109" t="s">
        <v>14</v>
      </c>
      <c r="I109" t="s">
        <v>27</v>
      </c>
      <c r="J109" t="s">
        <v>21</v>
      </c>
    </row>
    <row r="110" spans="1:10" x14ac:dyDescent="0.45">
      <c r="A110" t="s">
        <v>310</v>
      </c>
      <c r="B110" s="2">
        <v>46062</v>
      </c>
      <c r="C110" t="s">
        <v>311</v>
      </c>
      <c r="D110" t="s">
        <v>312</v>
      </c>
      <c r="E110" t="s">
        <v>82</v>
      </c>
      <c r="F110">
        <v>5</v>
      </c>
      <c r="G110" s="3">
        <v>0.2</v>
      </c>
      <c r="H110" t="s">
        <v>53</v>
      </c>
      <c r="I110" t="s">
        <v>27</v>
      </c>
      <c r="J110" t="s">
        <v>59</v>
      </c>
    </row>
    <row r="111" spans="1:10" x14ac:dyDescent="0.45">
      <c r="A111" t="s">
        <v>313</v>
      </c>
      <c r="B111" s="2">
        <v>45829</v>
      </c>
      <c r="C111" t="s">
        <v>204</v>
      </c>
      <c r="D111" t="s">
        <v>62</v>
      </c>
      <c r="E111" t="s">
        <v>13</v>
      </c>
      <c r="F111">
        <v>3</v>
      </c>
      <c r="G111" s="3">
        <v>0</v>
      </c>
      <c r="H111" t="s">
        <v>14</v>
      </c>
      <c r="I111" t="s">
        <v>54</v>
      </c>
      <c r="J111" t="s">
        <v>21</v>
      </c>
    </row>
    <row r="112" spans="1:10" x14ac:dyDescent="0.45">
      <c r="A112" t="s">
        <v>314</v>
      </c>
      <c r="B112" s="2">
        <v>45828</v>
      </c>
      <c r="C112" t="s">
        <v>315</v>
      </c>
      <c r="D112" t="s">
        <v>241</v>
      </c>
      <c r="E112" t="s">
        <v>115</v>
      </c>
      <c r="F112">
        <v>7</v>
      </c>
      <c r="G112" s="3">
        <v>0</v>
      </c>
      <c r="H112" t="s">
        <v>14</v>
      </c>
      <c r="I112" t="s">
        <v>15</v>
      </c>
      <c r="J112" t="s">
        <v>21</v>
      </c>
    </row>
    <row r="113" spans="1:10" x14ac:dyDescent="0.45">
      <c r="A113" t="s">
        <v>316</v>
      </c>
      <c r="B113" s="2">
        <v>45743</v>
      </c>
      <c r="C113" t="s">
        <v>317</v>
      </c>
      <c r="D113" t="s">
        <v>318</v>
      </c>
      <c r="E113" t="s">
        <v>140</v>
      </c>
      <c r="F113">
        <v>2</v>
      </c>
      <c r="G113" s="3">
        <v>0.08</v>
      </c>
      <c r="H113" t="s">
        <v>53</v>
      </c>
      <c r="I113" t="s">
        <v>48</v>
      </c>
      <c r="J113" t="s">
        <v>21</v>
      </c>
    </row>
    <row r="114" spans="1:10" x14ac:dyDescent="0.45">
      <c r="A114" t="s">
        <v>319</v>
      </c>
      <c r="B114" s="2">
        <v>45911</v>
      </c>
      <c r="C114" t="s">
        <v>154</v>
      </c>
      <c r="D114" t="s">
        <v>320</v>
      </c>
      <c r="E114" t="s">
        <v>218</v>
      </c>
      <c r="F114">
        <v>12</v>
      </c>
      <c r="G114" s="3">
        <v>0.08</v>
      </c>
      <c r="H114" t="s">
        <v>14</v>
      </c>
      <c r="I114" t="s">
        <v>54</v>
      </c>
      <c r="J114" t="s">
        <v>21</v>
      </c>
    </row>
    <row r="115" spans="1:10" x14ac:dyDescent="0.45">
      <c r="A115" t="s">
        <v>321</v>
      </c>
      <c r="B115" s="2">
        <v>46023</v>
      </c>
      <c r="C115" t="s">
        <v>322</v>
      </c>
      <c r="D115" t="s">
        <v>19</v>
      </c>
      <c r="E115" t="s">
        <v>35</v>
      </c>
      <c r="F115">
        <v>6</v>
      </c>
      <c r="G115" s="3">
        <v>0.2</v>
      </c>
      <c r="H115" t="s">
        <v>14</v>
      </c>
      <c r="I115" t="s">
        <v>27</v>
      </c>
      <c r="J115" t="s">
        <v>21</v>
      </c>
    </row>
    <row r="116" spans="1:10" x14ac:dyDescent="0.45">
      <c r="A116" t="s">
        <v>323</v>
      </c>
      <c r="B116" s="2">
        <v>46125</v>
      </c>
      <c r="C116" t="s">
        <v>324</v>
      </c>
      <c r="D116" t="s">
        <v>164</v>
      </c>
      <c r="E116" t="s">
        <v>144</v>
      </c>
      <c r="F116">
        <v>11</v>
      </c>
      <c r="G116" s="3">
        <v>0.15</v>
      </c>
      <c r="H116" t="s">
        <v>14</v>
      </c>
      <c r="I116" t="s">
        <v>27</v>
      </c>
      <c r="J116" t="s">
        <v>36</v>
      </c>
    </row>
    <row r="117" spans="1:10" x14ac:dyDescent="0.45">
      <c r="A117" t="s">
        <v>325</v>
      </c>
      <c r="B117" s="2">
        <v>45749</v>
      </c>
      <c r="C117" t="s">
        <v>326</v>
      </c>
      <c r="D117" t="s">
        <v>164</v>
      </c>
      <c r="E117" t="s">
        <v>218</v>
      </c>
      <c r="F117">
        <v>8</v>
      </c>
      <c r="G117" s="3">
        <v>0.08</v>
      </c>
      <c r="H117" t="s">
        <v>14</v>
      </c>
      <c r="I117" t="s">
        <v>27</v>
      </c>
      <c r="J117" t="s">
        <v>21</v>
      </c>
    </row>
    <row r="118" spans="1:10" x14ac:dyDescent="0.45">
      <c r="A118" t="s">
        <v>327</v>
      </c>
      <c r="B118" s="2">
        <v>45797</v>
      </c>
      <c r="C118" t="s">
        <v>328</v>
      </c>
      <c r="D118" t="s">
        <v>256</v>
      </c>
      <c r="E118" t="s">
        <v>140</v>
      </c>
      <c r="F118">
        <v>6</v>
      </c>
      <c r="G118" s="3">
        <v>0.08</v>
      </c>
      <c r="H118" t="s">
        <v>14</v>
      </c>
      <c r="I118" t="s">
        <v>48</v>
      </c>
      <c r="J118" t="s">
        <v>59</v>
      </c>
    </row>
    <row r="119" spans="1:10" x14ac:dyDescent="0.45">
      <c r="A119" t="s">
        <v>329</v>
      </c>
      <c r="B119" s="2">
        <v>45667</v>
      </c>
      <c r="C119" t="s">
        <v>330</v>
      </c>
      <c r="D119" t="s">
        <v>238</v>
      </c>
      <c r="E119" t="s">
        <v>101</v>
      </c>
      <c r="F119">
        <v>7</v>
      </c>
      <c r="G119" s="3">
        <v>0.08</v>
      </c>
      <c r="H119" t="s">
        <v>14</v>
      </c>
      <c r="I119" t="s">
        <v>48</v>
      </c>
      <c r="J119" t="s">
        <v>21</v>
      </c>
    </row>
    <row r="120" spans="1:10" x14ac:dyDescent="0.45">
      <c r="A120" t="s">
        <v>331</v>
      </c>
      <c r="B120" s="2">
        <v>46105</v>
      </c>
      <c r="C120" t="s">
        <v>332</v>
      </c>
      <c r="D120" t="s">
        <v>68</v>
      </c>
      <c r="E120" t="s">
        <v>52</v>
      </c>
      <c r="F120">
        <v>7</v>
      </c>
      <c r="G120" s="3">
        <v>0.05</v>
      </c>
      <c r="H120" t="s">
        <v>14</v>
      </c>
      <c r="I120" t="s">
        <v>15</v>
      </c>
      <c r="J120" t="s">
        <v>16</v>
      </c>
    </row>
    <row r="121" spans="1:10" x14ac:dyDescent="0.45">
      <c r="A121" t="s">
        <v>333</v>
      </c>
      <c r="B121" s="2">
        <v>46090</v>
      </c>
      <c r="C121" t="s">
        <v>334</v>
      </c>
      <c r="D121" t="s">
        <v>24</v>
      </c>
      <c r="E121" t="s">
        <v>127</v>
      </c>
      <c r="F121">
        <v>11</v>
      </c>
      <c r="G121" s="3">
        <v>0.05</v>
      </c>
      <c r="H121" t="s">
        <v>14</v>
      </c>
      <c r="I121" t="s">
        <v>27</v>
      </c>
      <c r="J121" t="s">
        <v>21</v>
      </c>
    </row>
    <row r="122" spans="1:10" x14ac:dyDescent="0.45">
      <c r="A122" t="s">
        <v>335</v>
      </c>
      <c r="B122" s="2">
        <v>46080</v>
      </c>
      <c r="C122" t="s">
        <v>315</v>
      </c>
      <c r="D122" t="s">
        <v>272</v>
      </c>
      <c r="E122" t="s">
        <v>152</v>
      </c>
      <c r="F122">
        <v>4</v>
      </c>
      <c r="G122" s="3">
        <v>0</v>
      </c>
      <c r="H122" t="s">
        <v>14</v>
      </c>
      <c r="I122" t="s">
        <v>27</v>
      </c>
      <c r="J122" t="s">
        <v>21</v>
      </c>
    </row>
    <row r="123" spans="1:10" x14ac:dyDescent="0.45">
      <c r="A123" t="s">
        <v>336</v>
      </c>
      <c r="B123" s="2">
        <v>45936</v>
      </c>
      <c r="C123" t="s">
        <v>56</v>
      </c>
      <c r="D123" t="s">
        <v>30</v>
      </c>
      <c r="E123" t="s">
        <v>85</v>
      </c>
      <c r="F123">
        <v>12</v>
      </c>
      <c r="G123" s="3">
        <v>0.2</v>
      </c>
      <c r="H123" t="s">
        <v>14</v>
      </c>
      <c r="I123" t="s">
        <v>48</v>
      </c>
      <c r="J123" t="s">
        <v>21</v>
      </c>
    </row>
    <row r="124" spans="1:10" x14ac:dyDescent="0.45">
      <c r="A124" t="s">
        <v>337</v>
      </c>
      <c r="B124" s="2">
        <v>45762</v>
      </c>
      <c r="C124" t="s">
        <v>338</v>
      </c>
      <c r="D124" t="s">
        <v>217</v>
      </c>
      <c r="E124" t="s">
        <v>144</v>
      </c>
      <c r="F124">
        <v>5</v>
      </c>
      <c r="G124" s="3">
        <v>0.08</v>
      </c>
      <c r="H124" t="s">
        <v>14</v>
      </c>
      <c r="I124" t="s">
        <v>15</v>
      </c>
      <c r="J124" t="s">
        <v>59</v>
      </c>
    </row>
    <row r="125" spans="1:10" x14ac:dyDescent="0.45">
      <c r="A125" t="s">
        <v>339</v>
      </c>
      <c r="B125" s="2">
        <v>45673</v>
      </c>
      <c r="C125" t="s">
        <v>240</v>
      </c>
      <c r="D125" t="s">
        <v>46</v>
      </c>
      <c r="E125" t="s">
        <v>225</v>
      </c>
      <c r="F125">
        <v>8</v>
      </c>
      <c r="G125" s="3">
        <v>0.05</v>
      </c>
      <c r="H125" t="s">
        <v>14</v>
      </c>
      <c r="I125" t="s">
        <v>27</v>
      </c>
      <c r="J125" t="s">
        <v>16</v>
      </c>
    </row>
    <row r="126" spans="1:10" x14ac:dyDescent="0.45">
      <c r="A126" t="s">
        <v>340</v>
      </c>
      <c r="B126" s="2">
        <v>45690</v>
      </c>
      <c r="C126" t="s">
        <v>294</v>
      </c>
      <c r="D126" t="s">
        <v>139</v>
      </c>
      <c r="E126" t="s">
        <v>85</v>
      </c>
      <c r="F126">
        <v>6</v>
      </c>
      <c r="G126" s="3">
        <v>0</v>
      </c>
      <c r="H126" t="s">
        <v>53</v>
      </c>
      <c r="I126" t="s">
        <v>54</v>
      </c>
      <c r="J126" t="s">
        <v>21</v>
      </c>
    </row>
    <row r="127" spans="1:10" x14ac:dyDescent="0.45">
      <c r="A127" t="s">
        <v>341</v>
      </c>
      <c r="B127" s="2">
        <v>46139</v>
      </c>
      <c r="C127" t="s">
        <v>342</v>
      </c>
      <c r="D127" t="s">
        <v>318</v>
      </c>
      <c r="E127" t="s">
        <v>127</v>
      </c>
      <c r="F127">
        <v>3</v>
      </c>
      <c r="G127" s="3">
        <v>0.05</v>
      </c>
      <c r="H127" t="s">
        <v>53</v>
      </c>
      <c r="I127" t="s">
        <v>27</v>
      </c>
      <c r="J127" t="s">
        <v>16</v>
      </c>
    </row>
    <row r="128" spans="1:10" x14ac:dyDescent="0.45">
      <c r="A128" t="s">
        <v>343</v>
      </c>
      <c r="B128" s="2">
        <v>45912</v>
      </c>
      <c r="C128" t="s">
        <v>344</v>
      </c>
      <c r="D128" t="s">
        <v>155</v>
      </c>
      <c r="E128" t="s">
        <v>40</v>
      </c>
      <c r="F128">
        <v>7</v>
      </c>
      <c r="G128" s="3">
        <v>0.2</v>
      </c>
      <c r="H128" t="s">
        <v>14</v>
      </c>
      <c r="I128" t="s">
        <v>48</v>
      </c>
      <c r="J128" t="s">
        <v>21</v>
      </c>
    </row>
    <row r="129" spans="1:10" x14ac:dyDescent="0.45">
      <c r="A129" t="s">
        <v>345</v>
      </c>
      <c r="B129" s="2">
        <v>45871</v>
      </c>
      <c r="C129" t="s">
        <v>346</v>
      </c>
      <c r="D129" t="s">
        <v>143</v>
      </c>
      <c r="E129" t="s">
        <v>140</v>
      </c>
      <c r="F129">
        <v>8</v>
      </c>
      <c r="G129" s="3">
        <v>0.15</v>
      </c>
      <c r="H129" t="s">
        <v>53</v>
      </c>
      <c r="I129" t="s">
        <v>27</v>
      </c>
      <c r="J129" t="s">
        <v>36</v>
      </c>
    </row>
    <row r="130" spans="1:10" x14ac:dyDescent="0.45">
      <c r="A130" t="s">
        <v>347</v>
      </c>
      <c r="B130" s="2">
        <v>46191</v>
      </c>
      <c r="C130" t="s">
        <v>11</v>
      </c>
      <c r="D130" t="s">
        <v>348</v>
      </c>
      <c r="E130" t="s">
        <v>111</v>
      </c>
      <c r="F130">
        <v>2</v>
      </c>
      <c r="G130" s="3">
        <v>0.08</v>
      </c>
      <c r="H130" t="s">
        <v>14</v>
      </c>
      <c r="I130" t="s">
        <v>27</v>
      </c>
      <c r="J130" t="s">
        <v>21</v>
      </c>
    </row>
    <row r="131" spans="1:10" x14ac:dyDescent="0.45">
      <c r="A131" t="s">
        <v>349</v>
      </c>
      <c r="B131" s="2">
        <v>45899</v>
      </c>
      <c r="C131" t="s">
        <v>350</v>
      </c>
      <c r="D131" t="s">
        <v>130</v>
      </c>
      <c r="E131" t="s">
        <v>31</v>
      </c>
      <c r="F131">
        <v>11</v>
      </c>
      <c r="G131" s="3">
        <v>0.15</v>
      </c>
      <c r="H131" t="s">
        <v>14</v>
      </c>
      <c r="I131" t="s">
        <v>54</v>
      </c>
      <c r="J131" t="s">
        <v>16</v>
      </c>
    </row>
    <row r="132" spans="1:10" x14ac:dyDescent="0.45">
      <c r="A132" t="s">
        <v>351</v>
      </c>
      <c r="B132" s="2">
        <v>45906</v>
      </c>
      <c r="C132" t="s">
        <v>120</v>
      </c>
      <c r="D132" t="s">
        <v>155</v>
      </c>
      <c r="E132" t="s">
        <v>136</v>
      </c>
      <c r="F132">
        <v>1</v>
      </c>
      <c r="G132" s="3">
        <v>0</v>
      </c>
      <c r="H132" t="s">
        <v>14</v>
      </c>
      <c r="I132" t="s">
        <v>15</v>
      </c>
      <c r="J132" t="s">
        <v>59</v>
      </c>
    </row>
    <row r="133" spans="1:10" x14ac:dyDescent="0.45">
      <c r="A133" t="s">
        <v>352</v>
      </c>
      <c r="B133" s="2">
        <v>45749</v>
      </c>
      <c r="C133" t="s">
        <v>353</v>
      </c>
      <c r="D133" t="s">
        <v>139</v>
      </c>
      <c r="E133" t="s">
        <v>40</v>
      </c>
      <c r="F133">
        <v>4</v>
      </c>
      <c r="G133" s="3">
        <v>0.03</v>
      </c>
      <c r="H133" t="s">
        <v>14</v>
      </c>
      <c r="I133" t="s">
        <v>27</v>
      </c>
      <c r="J133" t="s">
        <v>36</v>
      </c>
    </row>
    <row r="134" spans="1:10" x14ac:dyDescent="0.45">
      <c r="A134" t="s">
        <v>354</v>
      </c>
      <c r="B134" s="2">
        <v>46022</v>
      </c>
      <c r="C134" t="s">
        <v>355</v>
      </c>
      <c r="D134" t="s">
        <v>221</v>
      </c>
      <c r="E134" t="s">
        <v>35</v>
      </c>
      <c r="F134">
        <v>11</v>
      </c>
      <c r="G134" s="3">
        <v>0.03</v>
      </c>
      <c r="H134" t="s">
        <v>53</v>
      </c>
      <c r="I134" t="s">
        <v>48</v>
      </c>
      <c r="J134" t="s">
        <v>21</v>
      </c>
    </row>
    <row r="135" spans="1:10" x14ac:dyDescent="0.45">
      <c r="A135" t="s">
        <v>356</v>
      </c>
      <c r="B135" s="2">
        <v>46013</v>
      </c>
      <c r="C135" t="s">
        <v>240</v>
      </c>
      <c r="D135" t="s">
        <v>88</v>
      </c>
      <c r="E135" t="s">
        <v>52</v>
      </c>
      <c r="F135">
        <v>8</v>
      </c>
      <c r="G135" s="3">
        <v>0.05</v>
      </c>
      <c r="H135" t="s">
        <v>14</v>
      </c>
      <c r="I135" t="s">
        <v>15</v>
      </c>
      <c r="J135" t="s">
        <v>21</v>
      </c>
    </row>
    <row r="136" spans="1:10" x14ac:dyDescent="0.45">
      <c r="A136" t="s">
        <v>357</v>
      </c>
      <c r="B136" s="2">
        <v>46154</v>
      </c>
      <c r="C136" t="s">
        <v>358</v>
      </c>
      <c r="D136" t="s">
        <v>121</v>
      </c>
      <c r="E136" t="s">
        <v>35</v>
      </c>
      <c r="F136">
        <v>12</v>
      </c>
      <c r="G136" s="3">
        <v>0.2</v>
      </c>
      <c r="H136" t="s">
        <v>14</v>
      </c>
      <c r="I136" t="s">
        <v>15</v>
      </c>
      <c r="J136" t="s">
        <v>21</v>
      </c>
    </row>
    <row r="137" spans="1:10" x14ac:dyDescent="0.45">
      <c r="A137" t="s">
        <v>359</v>
      </c>
      <c r="B137" s="2">
        <v>45989</v>
      </c>
      <c r="C137" t="s">
        <v>360</v>
      </c>
      <c r="D137" t="s">
        <v>164</v>
      </c>
      <c r="E137" t="s">
        <v>58</v>
      </c>
      <c r="F137">
        <v>12</v>
      </c>
      <c r="G137" s="3">
        <v>0.2</v>
      </c>
      <c r="H137" t="s">
        <v>14</v>
      </c>
      <c r="I137" t="s">
        <v>54</v>
      </c>
      <c r="J137" t="s">
        <v>21</v>
      </c>
    </row>
    <row r="138" spans="1:10" x14ac:dyDescent="0.45">
      <c r="A138" t="s">
        <v>361</v>
      </c>
      <c r="B138" s="2">
        <v>45927</v>
      </c>
      <c r="C138" t="s">
        <v>353</v>
      </c>
      <c r="D138" t="s">
        <v>62</v>
      </c>
      <c r="E138" t="s">
        <v>101</v>
      </c>
      <c r="F138">
        <v>9</v>
      </c>
      <c r="G138" s="3">
        <v>0.1</v>
      </c>
      <c r="H138" t="s">
        <v>14</v>
      </c>
      <c r="I138" t="s">
        <v>15</v>
      </c>
      <c r="J138" t="s">
        <v>59</v>
      </c>
    </row>
    <row r="139" spans="1:10" x14ac:dyDescent="0.45">
      <c r="A139" t="s">
        <v>362</v>
      </c>
      <c r="B139" s="2">
        <v>45902</v>
      </c>
      <c r="C139" t="s">
        <v>363</v>
      </c>
      <c r="D139" t="s">
        <v>30</v>
      </c>
      <c r="E139" t="s">
        <v>58</v>
      </c>
      <c r="F139">
        <v>6</v>
      </c>
      <c r="G139" s="3">
        <v>0</v>
      </c>
      <c r="H139" t="s">
        <v>53</v>
      </c>
      <c r="I139" t="s">
        <v>15</v>
      </c>
      <c r="J139" t="s">
        <v>21</v>
      </c>
    </row>
    <row r="140" spans="1:10" x14ac:dyDescent="0.45">
      <c r="A140" t="s">
        <v>364</v>
      </c>
      <c r="B140" s="2">
        <v>45815</v>
      </c>
      <c r="C140" t="s">
        <v>134</v>
      </c>
      <c r="D140" t="s">
        <v>365</v>
      </c>
      <c r="E140" t="s">
        <v>40</v>
      </c>
      <c r="F140">
        <v>10</v>
      </c>
      <c r="G140" s="3">
        <v>0.08</v>
      </c>
      <c r="H140" t="s">
        <v>14</v>
      </c>
      <c r="I140" t="s">
        <v>27</v>
      </c>
      <c r="J140" t="s">
        <v>21</v>
      </c>
    </row>
    <row r="141" spans="1:10" x14ac:dyDescent="0.45">
      <c r="A141" t="s">
        <v>366</v>
      </c>
      <c r="B141" s="2">
        <v>45790</v>
      </c>
      <c r="C141" t="s">
        <v>96</v>
      </c>
      <c r="D141" t="s">
        <v>277</v>
      </c>
      <c r="E141" t="s">
        <v>35</v>
      </c>
      <c r="F141">
        <v>3</v>
      </c>
      <c r="G141" s="3">
        <v>0</v>
      </c>
      <c r="H141" t="s">
        <v>14</v>
      </c>
      <c r="I141" t="s">
        <v>15</v>
      </c>
      <c r="J141" t="s">
        <v>21</v>
      </c>
    </row>
    <row r="142" spans="1:10" x14ac:dyDescent="0.45">
      <c r="A142" t="s">
        <v>367</v>
      </c>
      <c r="B142" s="2">
        <v>46055</v>
      </c>
      <c r="C142" t="s">
        <v>368</v>
      </c>
      <c r="D142" t="s">
        <v>94</v>
      </c>
      <c r="E142" t="s">
        <v>25</v>
      </c>
      <c r="F142">
        <v>11</v>
      </c>
      <c r="G142" s="3">
        <v>0.2</v>
      </c>
      <c r="H142" t="s">
        <v>14</v>
      </c>
      <c r="I142" t="s">
        <v>27</v>
      </c>
      <c r="J142" t="s">
        <v>21</v>
      </c>
    </row>
    <row r="143" spans="1:10" x14ac:dyDescent="0.45">
      <c r="A143" t="s">
        <v>369</v>
      </c>
      <c r="B143" s="2">
        <v>45730</v>
      </c>
      <c r="C143" t="s">
        <v>129</v>
      </c>
      <c r="D143" t="s">
        <v>114</v>
      </c>
      <c r="E143" t="s">
        <v>72</v>
      </c>
      <c r="F143">
        <v>1</v>
      </c>
      <c r="G143" s="3">
        <v>0.05</v>
      </c>
      <c r="H143" t="s">
        <v>53</v>
      </c>
      <c r="I143" t="s">
        <v>48</v>
      </c>
      <c r="J143" t="s">
        <v>21</v>
      </c>
    </row>
    <row r="144" spans="1:10" x14ac:dyDescent="0.45">
      <c r="A144" t="s">
        <v>370</v>
      </c>
      <c r="B144" s="2">
        <v>46083</v>
      </c>
      <c r="C144" t="s">
        <v>371</v>
      </c>
      <c r="D144" t="s">
        <v>221</v>
      </c>
      <c r="E144" t="s">
        <v>58</v>
      </c>
      <c r="F144">
        <v>6</v>
      </c>
      <c r="G144" s="3">
        <v>0</v>
      </c>
      <c r="H144" t="s">
        <v>53</v>
      </c>
      <c r="I144" t="s">
        <v>27</v>
      </c>
      <c r="J144" t="s">
        <v>21</v>
      </c>
    </row>
    <row r="145" spans="1:10" x14ac:dyDescent="0.45">
      <c r="A145" t="s">
        <v>372</v>
      </c>
      <c r="B145" s="2">
        <v>45737</v>
      </c>
      <c r="C145" t="s">
        <v>373</v>
      </c>
      <c r="D145" t="s">
        <v>39</v>
      </c>
      <c r="E145" t="s">
        <v>101</v>
      </c>
      <c r="F145">
        <v>4</v>
      </c>
      <c r="G145" s="3">
        <v>0</v>
      </c>
      <c r="H145" t="s">
        <v>14</v>
      </c>
      <c r="I145" t="s">
        <v>54</v>
      </c>
      <c r="J145" t="s">
        <v>21</v>
      </c>
    </row>
    <row r="146" spans="1:10" x14ac:dyDescent="0.45">
      <c r="A146" t="s">
        <v>374</v>
      </c>
      <c r="B146" s="2">
        <v>45912</v>
      </c>
      <c r="C146" t="s">
        <v>375</v>
      </c>
      <c r="D146" t="s">
        <v>71</v>
      </c>
      <c r="E146" t="s">
        <v>140</v>
      </c>
      <c r="F146">
        <v>10</v>
      </c>
      <c r="G146" s="3">
        <v>0.03</v>
      </c>
      <c r="H146" t="s">
        <v>14</v>
      </c>
      <c r="I146" t="s">
        <v>15</v>
      </c>
      <c r="J146" t="s">
        <v>59</v>
      </c>
    </row>
    <row r="147" spans="1:10" x14ac:dyDescent="0.45">
      <c r="A147" t="s">
        <v>376</v>
      </c>
      <c r="B147" s="2">
        <v>46127</v>
      </c>
      <c r="C147" t="s">
        <v>377</v>
      </c>
      <c r="D147" t="s">
        <v>94</v>
      </c>
      <c r="E147" t="s">
        <v>58</v>
      </c>
      <c r="F147">
        <v>12</v>
      </c>
      <c r="G147" s="3">
        <v>0.15</v>
      </c>
      <c r="H147" t="s">
        <v>53</v>
      </c>
      <c r="I147" t="s">
        <v>54</v>
      </c>
      <c r="J147" t="s">
        <v>16</v>
      </c>
    </row>
    <row r="148" spans="1:10" x14ac:dyDescent="0.45">
      <c r="A148" t="s">
        <v>378</v>
      </c>
      <c r="B148" s="2">
        <v>46003</v>
      </c>
      <c r="C148" t="s">
        <v>379</v>
      </c>
      <c r="D148" t="s">
        <v>380</v>
      </c>
      <c r="E148" t="s">
        <v>140</v>
      </c>
      <c r="F148">
        <v>11</v>
      </c>
      <c r="G148" s="3">
        <v>0.03</v>
      </c>
      <c r="H148" t="s">
        <v>14</v>
      </c>
      <c r="I148" t="s">
        <v>15</v>
      </c>
      <c r="J148" t="s">
        <v>36</v>
      </c>
    </row>
    <row r="149" spans="1:10" x14ac:dyDescent="0.45">
      <c r="A149" t="s">
        <v>381</v>
      </c>
      <c r="B149" s="2">
        <v>46038</v>
      </c>
      <c r="C149" t="s">
        <v>382</v>
      </c>
      <c r="D149" t="s">
        <v>43</v>
      </c>
      <c r="E149" t="s">
        <v>281</v>
      </c>
      <c r="F149">
        <v>7</v>
      </c>
      <c r="G149" s="3">
        <v>0.15</v>
      </c>
      <c r="H149" t="s">
        <v>53</v>
      </c>
      <c r="I149" t="s">
        <v>27</v>
      </c>
      <c r="J149" t="s">
        <v>21</v>
      </c>
    </row>
    <row r="150" spans="1:10" x14ac:dyDescent="0.45">
      <c r="A150" t="s">
        <v>383</v>
      </c>
      <c r="B150" s="2">
        <v>46042</v>
      </c>
      <c r="C150" t="s">
        <v>384</v>
      </c>
      <c r="D150" t="s">
        <v>164</v>
      </c>
      <c r="E150" t="s">
        <v>115</v>
      </c>
      <c r="F150">
        <v>9</v>
      </c>
      <c r="G150" s="3">
        <v>0.08</v>
      </c>
      <c r="H150" t="s">
        <v>14</v>
      </c>
      <c r="I150" t="s">
        <v>15</v>
      </c>
      <c r="J150" t="s">
        <v>21</v>
      </c>
    </row>
    <row r="151" spans="1:10" x14ac:dyDescent="0.45">
      <c r="A151" t="s">
        <v>385</v>
      </c>
      <c r="B151" s="2">
        <v>45693</v>
      </c>
      <c r="C151" t="s">
        <v>248</v>
      </c>
      <c r="D151" t="s">
        <v>386</v>
      </c>
      <c r="E151" t="s">
        <v>111</v>
      </c>
      <c r="F151">
        <v>5</v>
      </c>
      <c r="G151" s="3">
        <v>0</v>
      </c>
      <c r="H151" t="s">
        <v>14</v>
      </c>
      <c r="I151" t="s">
        <v>27</v>
      </c>
      <c r="J151" t="s">
        <v>21</v>
      </c>
    </row>
    <row r="152" spans="1:10" x14ac:dyDescent="0.45">
      <c r="A152" t="s">
        <v>387</v>
      </c>
      <c r="B152" s="2">
        <v>45680</v>
      </c>
      <c r="C152" t="s">
        <v>129</v>
      </c>
      <c r="D152" t="s">
        <v>130</v>
      </c>
      <c r="E152" t="s">
        <v>281</v>
      </c>
      <c r="F152">
        <v>12</v>
      </c>
      <c r="G152" s="3">
        <v>0.08</v>
      </c>
      <c r="H152" t="s">
        <v>26</v>
      </c>
      <c r="I152" t="s">
        <v>54</v>
      </c>
      <c r="J152" t="s">
        <v>21</v>
      </c>
    </row>
    <row r="153" spans="1:10" x14ac:dyDescent="0.45">
      <c r="A153" t="s">
        <v>388</v>
      </c>
      <c r="B153" s="2">
        <v>45799</v>
      </c>
      <c r="C153" t="s">
        <v>291</v>
      </c>
      <c r="D153" t="s">
        <v>158</v>
      </c>
      <c r="E153" t="s">
        <v>225</v>
      </c>
      <c r="F153">
        <v>5</v>
      </c>
      <c r="G153" s="3">
        <v>0.1</v>
      </c>
      <c r="H153" t="s">
        <v>53</v>
      </c>
      <c r="I153" t="s">
        <v>54</v>
      </c>
      <c r="J153" t="s">
        <v>21</v>
      </c>
    </row>
    <row r="154" spans="1:10" x14ac:dyDescent="0.45">
      <c r="A154" t="s">
        <v>389</v>
      </c>
      <c r="B154" s="2">
        <v>46067</v>
      </c>
      <c r="C154" t="s">
        <v>390</v>
      </c>
      <c r="D154" t="s">
        <v>391</v>
      </c>
      <c r="E154" t="s">
        <v>127</v>
      </c>
      <c r="F154">
        <v>10</v>
      </c>
      <c r="G154" s="3">
        <v>0.05</v>
      </c>
      <c r="H154" t="s">
        <v>53</v>
      </c>
      <c r="I154" t="s">
        <v>27</v>
      </c>
      <c r="J154" t="s">
        <v>16</v>
      </c>
    </row>
    <row r="155" spans="1:10" x14ac:dyDescent="0.45">
      <c r="A155" t="s">
        <v>392</v>
      </c>
      <c r="B155" s="2">
        <v>45755</v>
      </c>
      <c r="C155" t="s">
        <v>117</v>
      </c>
      <c r="D155" t="s">
        <v>210</v>
      </c>
      <c r="E155" t="s">
        <v>72</v>
      </c>
      <c r="F155">
        <v>10</v>
      </c>
      <c r="G155" s="3">
        <v>0.08</v>
      </c>
      <c r="H155" t="s">
        <v>14</v>
      </c>
      <c r="I155" t="s">
        <v>15</v>
      </c>
      <c r="J155" t="s">
        <v>21</v>
      </c>
    </row>
    <row r="156" spans="1:10" x14ac:dyDescent="0.45">
      <c r="A156" t="s">
        <v>393</v>
      </c>
      <c r="B156" s="2">
        <v>46102</v>
      </c>
      <c r="C156" t="s">
        <v>394</v>
      </c>
      <c r="D156" t="s">
        <v>148</v>
      </c>
      <c r="E156" t="s">
        <v>58</v>
      </c>
      <c r="F156">
        <v>7</v>
      </c>
      <c r="G156" s="3">
        <v>0</v>
      </c>
      <c r="H156" t="s">
        <v>53</v>
      </c>
      <c r="I156" t="s">
        <v>54</v>
      </c>
      <c r="J156" t="s">
        <v>59</v>
      </c>
    </row>
    <row r="157" spans="1:10" x14ac:dyDescent="0.45">
      <c r="A157" t="s">
        <v>395</v>
      </c>
      <c r="B157" s="2">
        <v>46049</v>
      </c>
      <c r="C157" t="s">
        <v>396</v>
      </c>
      <c r="D157" t="s">
        <v>110</v>
      </c>
      <c r="E157" t="s">
        <v>25</v>
      </c>
      <c r="F157">
        <v>1</v>
      </c>
      <c r="G157" s="3">
        <v>0.08</v>
      </c>
      <c r="H157" t="s">
        <v>14</v>
      </c>
      <c r="I157" t="s">
        <v>27</v>
      </c>
      <c r="J157" t="s">
        <v>21</v>
      </c>
    </row>
    <row r="158" spans="1:10" x14ac:dyDescent="0.45">
      <c r="A158" t="s">
        <v>397</v>
      </c>
      <c r="B158" s="2">
        <v>45884</v>
      </c>
      <c r="C158" t="s">
        <v>398</v>
      </c>
      <c r="D158" t="s">
        <v>135</v>
      </c>
      <c r="E158" t="s">
        <v>140</v>
      </c>
      <c r="F158">
        <v>3</v>
      </c>
      <c r="G158" s="3">
        <v>0</v>
      </c>
      <c r="H158" t="s">
        <v>53</v>
      </c>
      <c r="I158" t="s">
        <v>15</v>
      </c>
      <c r="J158" t="s">
        <v>107</v>
      </c>
    </row>
    <row r="159" spans="1:10" x14ac:dyDescent="0.45">
      <c r="A159" t="s">
        <v>399</v>
      </c>
      <c r="B159" s="2">
        <v>46174</v>
      </c>
      <c r="C159" t="s">
        <v>132</v>
      </c>
      <c r="D159" t="s">
        <v>81</v>
      </c>
      <c r="E159" t="s">
        <v>197</v>
      </c>
      <c r="F159">
        <v>2</v>
      </c>
      <c r="G159" s="3">
        <v>0.05</v>
      </c>
      <c r="H159" t="s">
        <v>14</v>
      </c>
      <c r="I159" t="s">
        <v>15</v>
      </c>
      <c r="J159" t="s">
        <v>21</v>
      </c>
    </row>
    <row r="160" spans="1:10" x14ac:dyDescent="0.45">
      <c r="A160" t="s">
        <v>400</v>
      </c>
      <c r="B160" s="2">
        <v>45708</v>
      </c>
      <c r="C160" t="s">
        <v>401</v>
      </c>
      <c r="D160" t="s">
        <v>241</v>
      </c>
      <c r="E160" t="s">
        <v>47</v>
      </c>
      <c r="F160">
        <v>9</v>
      </c>
      <c r="G160" s="3">
        <v>0.15</v>
      </c>
      <c r="H160" t="s">
        <v>14</v>
      </c>
      <c r="I160" t="s">
        <v>15</v>
      </c>
      <c r="J160" t="s">
        <v>21</v>
      </c>
    </row>
    <row r="161" spans="1:10" x14ac:dyDescent="0.45">
      <c r="A161" t="s">
        <v>402</v>
      </c>
      <c r="B161" s="2">
        <v>45796</v>
      </c>
      <c r="C161" t="s">
        <v>123</v>
      </c>
      <c r="D161" t="s">
        <v>91</v>
      </c>
      <c r="E161" t="s">
        <v>40</v>
      </c>
      <c r="F161">
        <v>8</v>
      </c>
      <c r="G161" s="3">
        <v>0.05</v>
      </c>
      <c r="H161" t="s">
        <v>14</v>
      </c>
      <c r="I161" t="s">
        <v>54</v>
      </c>
      <c r="J161" t="s">
        <v>21</v>
      </c>
    </row>
    <row r="162" spans="1:10" x14ac:dyDescent="0.45">
      <c r="A162" t="s">
        <v>403</v>
      </c>
      <c r="B162" s="2">
        <v>45906</v>
      </c>
      <c r="C162" t="s">
        <v>346</v>
      </c>
      <c r="D162" t="s">
        <v>404</v>
      </c>
      <c r="E162" t="s">
        <v>218</v>
      </c>
      <c r="F162">
        <v>2</v>
      </c>
      <c r="G162" s="3">
        <v>0.08</v>
      </c>
      <c r="H162" t="s">
        <v>53</v>
      </c>
      <c r="I162" t="s">
        <v>27</v>
      </c>
      <c r="J162" t="s">
        <v>59</v>
      </c>
    </row>
    <row r="163" spans="1:10" x14ac:dyDescent="0.45">
      <c r="A163" t="s">
        <v>405</v>
      </c>
      <c r="B163" s="2">
        <v>46081</v>
      </c>
      <c r="C163" t="s">
        <v>150</v>
      </c>
      <c r="D163" t="s">
        <v>46</v>
      </c>
      <c r="E163" t="s">
        <v>31</v>
      </c>
      <c r="F163">
        <v>7</v>
      </c>
      <c r="G163" s="3">
        <v>0.1</v>
      </c>
      <c r="H163" t="s">
        <v>14</v>
      </c>
      <c r="I163" t="s">
        <v>27</v>
      </c>
      <c r="J163" t="s">
        <v>21</v>
      </c>
    </row>
    <row r="164" spans="1:10" x14ac:dyDescent="0.45">
      <c r="A164" t="s">
        <v>406</v>
      </c>
      <c r="B164" s="2">
        <v>45970</v>
      </c>
      <c r="C164" t="s">
        <v>263</v>
      </c>
      <c r="D164" t="s">
        <v>19</v>
      </c>
      <c r="E164" t="s">
        <v>40</v>
      </c>
      <c r="F164">
        <v>3</v>
      </c>
      <c r="G164" s="3">
        <v>0.1</v>
      </c>
      <c r="H164" t="s">
        <v>53</v>
      </c>
      <c r="I164" t="s">
        <v>15</v>
      </c>
      <c r="J164" t="s">
        <v>21</v>
      </c>
    </row>
    <row r="165" spans="1:10" x14ac:dyDescent="0.45">
      <c r="A165" t="s">
        <v>407</v>
      </c>
      <c r="B165" s="2">
        <v>45862</v>
      </c>
      <c r="C165" t="s">
        <v>408</v>
      </c>
      <c r="D165" t="s">
        <v>348</v>
      </c>
      <c r="E165" t="s">
        <v>218</v>
      </c>
      <c r="F165">
        <v>11</v>
      </c>
      <c r="G165" s="3">
        <v>0.1</v>
      </c>
      <c r="H165" t="s">
        <v>14</v>
      </c>
      <c r="I165" t="s">
        <v>48</v>
      </c>
      <c r="J165" t="s">
        <v>21</v>
      </c>
    </row>
    <row r="166" spans="1:10" x14ac:dyDescent="0.45">
      <c r="A166" t="s">
        <v>409</v>
      </c>
      <c r="B166" s="2">
        <v>45809</v>
      </c>
      <c r="C166" t="s">
        <v>109</v>
      </c>
      <c r="D166" t="s">
        <v>410</v>
      </c>
      <c r="E166" t="s">
        <v>82</v>
      </c>
      <c r="F166">
        <v>5</v>
      </c>
      <c r="G166" s="3">
        <v>0</v>
      </c>
      <c r="H166" t="s">
        <v>14</v>
      </c>
      <c r="I166" t="s">
        <v>48</v>
      </c>
      <c r="J166" t="s">
        <v>21</v>
      </c>
    </row>
    <row r="167" spans="1:10" x14ac:dyDescent="0.45">
      <c r="A167" t="s">
        <v>411</v>
      </c>
      <c r="B167" s="2">
        <v>45872</v>
      </c>
      <c r="C167" t="s">
        <v>412</v>
      </c>
      <c r="D167" t="s">
        <v>217</v>
      </c>
      <c r="E167" t="s">
        <v>281</v>
      </c>
      <c r="F167">
        <v>12</v>
      </c>
      <c r="G167" s="3">
        <v>0.05</v>
      </c>
      <c r="H167" t="s">
        <v>14</v>
      </c>
      <c r="I167" t="s">
        <v>27</v>
      </c>
      <c r="J167" t="s">
        <v>21</v>
      </c>
    </row>
    <row r="168" spans="1:10" x14ac:dyDescent="0.45">
      <c r="A168" t="s">
        <v>413</v>
      </c>
      <c r="B168" s="2">
        <v>45676</v>
      </c>
      <c r="C168" t="s">
        <v>414</v>
      </c>
      <c r="D168" t="s">
        <v>167</v>
      </c>
      <c r="E168" t="s">
        <v>72</v>
      </c>
      <c r="F168">
        <v>7</v>
      </c>
      <c r="G168" s="3">
        <v>0</v>
      </c>
      <c r="H168" t="s">
        <v>14</v>
      </c>
      <c r="I168" t="s">
        <v>48</v>
      </c>
      <c r="J168" t="s">
        <v>21</v>
      </c>
    </row>
    <row r="169" spans="1:10" x14ac:dyDescent="0.45">
      <c r="A169" t="s">
        <v>415</v>
      </c>
      <c r="B169" s="2">
        <v>45712</v>
      </c>
      <c r="C169" t="s">
        <v>416</v>
      </c>
      <c r="D169" t="s">
        <v>30</v>
      </c>
      <c r="E169" t="s">
        <v>152</v>
      </c>
      <c r="F169">
        <v>8</v>
      </c>
      <c r="G169" s="3">
        <v>0</v>
      </c>
      <c r="H169" t="s">
        <v>14</v>
      </c>
      <c r="I169" t="s">
        <v>27</v>
      </c>
      <c r="J169" t="s">
        <v>21</v>
      </c>
    </row>
    <row r="170" spans="1:10" x14ac:dyDescent="0.45">
      <c r="A170" t="s">
        <v>417</v>
      </c>
      <c r="B170" s="2">
        <v>45677</v>
      </c>
      <c r="C170" t="s">
        <v>418</v>
      </c>
      <c r="D170" t="s">
        <v>202</v>
      </c>
      <c r="E170" t="s">
        <v>31</v>
      </c>
      <c r="F170">
        <v>5</v>
      </c>
      <c r="G170" s="3">
        <v>0.15</v>
      </c>
      <c r="H170" t="s">
        <v>14</v>
      </c>
      <c r="I170" t="s">
        <v>15</v>
      </c>
      <c r="J170" t="s">
        <v>21</v>
      </c>
    </row>
    <row r="171" spans="1:10" x14ac:dyDescent="0.45">
      <c r="A171" t="s">
        <v>419</v>
      </c>
      <c r="B171" s="2">
        <v>46154</v>
      </c>
      <c r="C171" t="s">
        <v>420</v>
      </c>
      <c r="D171" t="s">
        <v>143</v>
      </c>
      <c r="E171" t="s">
        <v>281</v>
      </c>
      <c r="F171">
        <v>10</v>
      </c>
      <c r="G171" s="3">
        <v>0</v>
      </c>
      <c r="H171" t="s">
        <v>14</v>
      </c>
      <c r="I171" t="s">
        <v>15</v>
      </c>
      <c r="J171" t="s">
        <v>21</v>
      </c>
    </row>
    <row r="172" spans="1:10" x14ac:dyDescent="0.45">
      <c r="A172" t="s">
        <v>421</v>
      </c>
      <c r="B172" s="2">
        <v>45911</v>
      </c>
      <c r="C172" t="s">
        <v>422</v>
      </c>
      <c r="D172" t="s">
        <v>217</v>
      </c>
      <c r="E172" t="s">
        <v>35</v>
      </c>
      <c r="F172">
        <v>9</v>
      </c>
      <c r="G172" s="3">
        <v>0.08</v>
      </c>
      <c r="H172" t="s">
        <v>14</v>
      </c>
      <c r="I172" t="s">
        <v>15</v>
      </c>
      <c r="J172" t="s">
        <v>59</v>
      </c>
    </row>
    <row r="173" spans="1:10" x14ac:dyDescent="0.45">
      <c r="A173" t="s">
        <v>423</v>
      </c>
      <c r="B173" s="2">
        <v>46018</v>
      </c>
      <c r="C173" t="s">
        <v>363</v>
      </c>
      <c r="D173" t="s">
        <v>170</v>
      </c>
      <c r="E173" t="s">
        <v>20</v>
      </c>
      <c r="F173">
        <v>6</v>
      </c>
      <c r="G173" s="3">
        <v>0.08</v>
      </c>
      <c r="H173" t="s">
        <v>14</v>
      </c>
      <c r="I173" t="s">
        <v>27</v>
      </c>
      <c r="J173" t="s">
        <v>16</v>
      </c>
    </row>
    <row r="174" spans="1:10" x14ac:dyDescent="0.45">
      <c r="A174" t="s">
        <v>424</v>
      </c>
      <c r="B174" s="2">
        <v>45688</v>
      </c>
      <c r="C174" t="s">
        <v>187</v>
      </c>
      <c r="D174" t="s">
        <v>121</v>
      </c>
      <c r="E174" t="s">
        <v>136</v>
      </c>
      <c r="F174">
        <v>9</v>
      </c>
      <c r="G174" s="3">
        <v>0.08</v>
      </c>
      <c r="H174" t="s">
        <v>14</v>
      </c>
      <c r="I174" t="s">
        <v>27</v>
      </c>
      <c r="J174" t="s">
        <v>36</v>
      </c>
    </row>
    <row r="175" spans="1:10" x14ac:dyDescent="0.45">
      <c r="A175" t="s">
        <v>425</v>
      </c>
      <c r="B175" s="2">
        <v>46049</v>
      </c>
      <c r="C175" t="s">
        <v>80</v>
      </c>
      <c r="D175" t="s">
        <v>182</v>
      </c>
      <c r="E175" t="s">
        <v>127</v>
      </c>
      <c r="F175">
        <v>9</v>
      </c>
      <c r="G175" s="3">
        <v>0.05</v>
      </c>
      <c r="H175" t="s">
        <v>14</v>
      </c>
      <c r="I175" t="s">
        <v>54</v>
      </c>
      <c r="J175" t="s">
        <v>21</v>
      </c>
    </row>
    <row r="176" spans="1:10" x14ac:dyDescent="0.45">
      <c r="A176" t="s">
        <v>426</v>
      </c>
      <c r="B176" s="2">
        <v>46117</v>
      </c>
      <c r="C176" t="s">
        <v>427</v>
      </c>
      <c r="D176" t="s">
        <v>114</v>
      </c>
      <c r="E176" t="s">
        <v>281</v>
      </c>
      <c r="F176">
        <v>9</v>
      </c>
      <c r="G176" s="3">
        <v>0.03</v>
      </c>
      <c r="H176" t="s">
        <v>14</v>
      </c>
      <c r="I176" t="s">
        <v>54</v>
      </c>
      <c r="J176" t="s">
        <v>21</v>
      </c>
    </row>
    <row r="177" spans="1:10" x14ac:dyDescent="0.45">
      <c r="A177" t="s">
        <v>428</v>
      </c>
      <c r="B177" s="2">
        <v>45974</v>
      </c>
      <c r="C177" t="s">
        <v>429</v>
      </c>
      <c r="D177" t="s">
        <v>430</v>
      </c>
      <c r="E177" t="s">
        <v>225</v>
      </c>
      <c r="F177">
        <v>12</v>
      </c>
      <c r="G177" s="3">
        <v>0.03</v>
      </c>
      <c r="H177" t="s">
        <v>14</v>
      </c>
      <c r="I177" t="s">
        <v>54</v>
      </c>
      <c r="J177" t="s">
        <v>21</v>
      </c>
    </row>
    <row r="178" spans="1:10" x14ac:dyDescent="0.45">
      <c r="A178" t="s">
        <v>431</v>
      </c>
      <c r="B178" s="2">
        <v>45727</v>
      </c>
      <c r="C178" t="s">
        <v>432</v>
      </c>
      <c r="D178" t="s">
        <v>100</v>
      </c>
      <c r="E178" t="s">
        <v>281</v>
      </c>
      <c r="F178">
        <v>9</v>
      </c>
      <c r="G178" s="3">
        <v>0</v>
      </c>
      <c r="H178" t="s">
        <v>14</v>
      </c>
      <c r="I178" t="s">
        <v>54</v>
      </c>
      <c r="J178" t="s">
        <v>59</v>
      </c>
    </row>
    <row r="179" spans="1:10" x14ac:dyDescent="0.45">
      <c r="A179" t="s">
        <v>433</v>
      </c>
      <c r="B179" s="2">
        <v>46079</v>
      </c>
      <c r="C179" t="s">
        <v>286</v>
      </c>
      <c r="D179" t="s">
        <v>88</v>
      </c>
      <c r="E179" t="s">
        <v>13</v>
      </c>
      <c r="F179">
        <v>5</v>
      </c>
      <c r="G179" s="3">
        <v>0.2</v>
      </c>
      <c r="H179" t="s">
        <v>53</v>
      </c>
      <c r="I179" t="s">
        <v>27</v>
      </c>
      <c r="J179" t="s">
        <v>21</v>
      </c>
    </row>
    <row r="180" spans="1:10" x14ac:dyDescent="0.45">
      <c r="A180" t="s">
        <v>434</v>
      </c>
      <c r="B180" s="2">
        <v>45847</v>
      </c>
      <c r="C180" t="s">
        <v>332</v>
      </c>
      <c r="D180" t="s">
        <v>12</v>
      </c>
      <c r="E180" t="s">
        <v>225</v>
      </c>
      <c r="F180">
        <v>1</v>
      </c>
      <c r="G180" s="3">
        <v>0.08</v>
      </c>
      <c r="H180" t="s">
        <v>53</v>
      </c>
      <c r="I180" t="s">
        <v>54</v>
      </c>
      <c r="J180" t="s">
        <v>21</v>
      </c>
    </row>
    <row r="181" spans="1:10" x14ac:dyDescent="0.45">
      <c r="A181" t="s">
        <v>435</v>
      </c>
      <c r="B181" s="2">
        <v>45739</v>
      </c>
      <c r="C181" t="s">
        <v>436</v>
      </c>
      <c r="D181" t="s">
        <v>19</v>
      </c>
      <c r="E181" t="s">
        <v>58</v>
      </c>
      <c r="F181">
        <v>12</v>
      </c>
      <c r="G181" s="3">
        <v>0.2</v>
      </c>
      <c r="H181" t="s">
        <v>14</v>
      </c>
      <c r="I181" t="s">
        <v>15</v>
      </c>
      <c r="J181" t="s">
        <v>59</v>
      </c>
    </row>
    <row r="182" spans="1:10" x14ac:dyDescent="0.45">
      <c r="A182" t="s">
        <v>437</v>
      </c>
      <c r="B182" s="2">
        <v>46161</v>
      </c>
      <c r="C182" t="s">
        <v>438</v>
      </c>
      <c r="D182" t="s">
        <v>439</v>
      </c>
      <c r="E182" t="s">
        <v>136</v>
      </c>
      <c r="F182">
        <v>8</v>
      </c>
      <c r="G182" s="3">
        <v>0.03</v>
      </c>
      <c r="H182" t="s">
        <v>14</v>
      </c>
      <c r="I182" t="s">
        <v>54</v>
      </c>
      <c r="J182" t="s">
        <v>21</v>
      </c>
    </row>
    <row r="183" spans="1:10" x14ac:dyDescent="0.45">
      <c r="A183" t="s">
        <v>440</v>
      </c>
      <c r="B183" s="2">
        <v>46080</v>
      </c>
      <c r="C183" t="s">
        <v>286</v>
      </c>
      <c r="D183" t="s">
        <v>110</v>
      </c>
      <c r="E183" t="s">
        <v>152</v>
      </c>
      <c r="F183">
        <v>4</v>
      </c>
      <c r="G183" s="3">
        <v>0.05</v>
      </c>
      <c r="H183" t="s">
        <v>53</v>
      </c>
      <c r="I183" t="s">
        <v>48</v>
      </c>
      <c r="J183" t="s">
        <v>21</v>
      </c>
    </row>
    <row r="184" spans="1:10" x14ac:dyDescent="0.45">
      <c r="A184" t="s">
        <v>441</v>
      </c>
      <c r="B184" s="2">
        <v>45990</v>
      </c>
      <c r="C184" t="s">
        <v>160</v>
      </c>
      <c r="D184" t="s">
        <v>34</v>
      </c>
      <c r="E184" t="s">
        <v>47</v>
      </c>
      <c r="F184">
        <v>8</v>
      </c>
      <c r="G184" s="3">
        <v>0.05</v>
      </c>
      <c r="H184" t="s">
        <v>14</v>
      </c>
      <c r="I184" t="s">
        <v>48</v>
      </c>
      <c r="J184" t="s">
        <v>21</v>
      </c>
    </row>
    <row r="185" spans="1:10" x14ac:dyDescent="0.45">
      <c r="A185" t="s">
        <v>442</v>
      </c>
      <c r="B185" s="2">
        <v>46195</v>
      </c>
      <c r="C185" t="s">
        <v>443</v>
      </c>
      <c r="D185" t="s">
        <v>88</v>
      </c>
      <c r="E185" t="s">
        <v>136</v>
      </c>
      <c r="F185">
        <v>11</v>
      </c>
      <c r="G185" s="3">
        <v>0</v>
      </c>
      <c r="H185" t="s">
        <v>14</v>
      </c>
      <c r="I185" t="s">
        <v>15</v>
      </c>
      <c r="J185" t="s">
        <v>21</v>
      </c>
    </row>
    <row r="186" spans="1:10" x14ac:dyDescent="0.45">
      <c r="A186" t="s">
        <v>444</v>
      </c>
      <c r="B186" s="2">
        <v>46063</v>
      </c>
      <c r="C186" t="s">
        <v>445</v>
      </c>
      <c r="D186" t="s">
        <v>410</v>
      </c>
      <c r="E186" t="s">
        <v>140</v>
      </c>
      <c r="F186">
        <v>12</v>
      </c>
      <c r="G186" s="3">
        <v>0</v>
      </c>
      <c r="H186" t="s">
        <v>14</v>
      </c>
      <c r="I186" t="s">
        <v>48</v>
      </c>
      <c r="J186" t="s">
        <v>21</v>
      </c>
    </row>
    <row r="187" spans="1:10" x14ac:dyDescent="0.45">
      <c r="A187" t="s">
        <v>446</v>
      </c>
      <c r="B187" s="2">
        <v>45950</v>
      </c>
      <c r="C187" t="s">
        <v>408</v>
      </c>
      <c r="D187" t="s">
        <v>318</v>
      </c>
      <c r="E187" t="s">
        <v>101</v>
      </c>
      <c r="F187">
        <v>8</v>
      </c>
      <c r="G187" s="3">
        <v>0.03</v>
      </c>
      <c r="H187" t="s">
        <v>14</v>
      </c>
      <c r="I187" t="s">
        <v>48</v>
      </c>
      <c r="J187" t="s">
        <v>59</v>
      </c>
    </row>
    <row r="188" spans="1:10" x14ac:dyDescent="0.45">
      <c r="A188" t="s">
        <v>447</v>
      </c>
      <c r="B188" s="2">
        <v>46120</v>
      </c>
      <c r="C188" t="s">
        <v>448</v>
      </c>
      <c r="D188" t="s">
        <v>449</v>
      </c>
      <c r="E188" t="s">
        <v>25</v>
      </c>
      <c r="F188">
        <v>2</v>
      </c>
      <c r="G188" s="3">
        <v>0</v>
      </c>
      <c r="H188" t="s">
        <v>14</v>
      </c>
      <c r="I188" t="s">
        <v>54</v>
      </c>
      <c r="J188" t="s">
        <v>21</v>
      </c>
    </row>
    <row r="189" spans="1:10" x14ac:dyDescent="0.45">
      <c r="A189" t="s">
        <v>450</v>
      </c>
      <c r="B189" s="2">
        <v>45841</v>
      </c>
      <c r="C189" t="s">
        <v>451</v>
      </c>
      <c r="D189" t="s">
        <v>62</v>
      </c>
      <c r="E189" t="s">
        <v>97</v>
      </c>
      <c r="F189">
        <v>8</v>
      </c>
      <c r="G189" s="3">
        <v>0.05</v>
      </c>
      <c r="H189" t="s">
        <v>53</v>
      </c>
      <c r="I189" t="s">
        <v>48</v>
      </c>
      <c r="J189" t="s">
        <v>21</v>
      </c>
    </row>
    <row r="190" spans="1:10" x14ac:dyDescent="0.45">
      <c r="A190" t="s">
        <v>452</v>
      </c>
      <c r="B190" s="2">
        <v>45784</v>
      </c>
      <c r="C190" t="s">
        <v>453</v>
      </c>
      <c r="D190" t="s">
        <v>100</v>
      </c>
      <c r="E190" t="s">
        <v>72</v>
      </c>
      <c r="F190">
        <v>2</v>
      </c>
      <c r="G190" s="3">
        <v>0</v>
      </c>
      <c r="H190" t="s">
        <v>53</v>
      </c>
      <c r="I190" t="s">
        <v>27</v>
      </c>
      <c r="J190" t="s">
        <v>21</v>
      </c>
    </row>
    <row r="191" spans="1:10" x14ac:dyDescent="0.45">
      <c r="A191" t="s">
        <v>454</v>
      </c>
      <c r="B191" s="2">
        <v>46181</v>
      </c>
      <c r="C191" t="s">
        <v>455</v>
      </c>
      <c r="D191" t="s">
        <v>456</v>
      </c>
      <c r="E191" t="s">
        <v>111</v>
      </c>
      <c r="F191">
        <v>10</v>
      </c>
      <c r="G191" s="3">
        <v>0.03</v>
      </c>
      <c r="H191" t="s">
        <v>14</v>
      </c>
      <c r="I191" t="s">
        <v>15</v>
      </c>
      <c r="J191" t="s">
        <v>21</v>
      </c>
    </row>
    <row r="192" spans="1:10" x14ac:dyDescent="0.45">
      <c r="A192" t="s">
        <v>457</v>
      </c>
      <c r="B192" s="2">
        <v>45811</v>
      </c>
      <c r="C192" t="s">
        <v>322</v>
      </c>
      <c r="D192" t="s">
        <v>148</v>
      </c>
      <c r="E192" t="s">
        <v>197</v>
      </c>
      <c r="F192">
        <v>3</v>
      </c>
      <c r="G192" s="3">
        <v>0.03</v>
      </c>
      <c r="H192" t="s">
        <v>14</v>
      </c>
      <c r="I192" t="s">
        <v>48</v>
      </c>
      <c r="J192" t="s">
        <v>21</v>
      </c>
    </row>
    <row r="193" spans="1:10" x14ac:dyDescent="0.45">
      <c r="A193" t="s">
        <v>458</v>
      </c>
      <c r="B193" s="2">
        <v>45843</v>
      </c>
      <c r="C193" t="s">
        <v>459</v>
      </c>
      <c r="D193" t="s">
        <v>62</v>
      </c>
      <c r="E193" t="s">
        <v>101</v>
      </c>
      <c r="F193">
        <v>2</v>
      </c>
      <c r="G193" s="3">
        <v>0.03</v>
      </c>
      <c r="H193" t="s">
        <v>26</v>
      </c>
      <c r="I193" t="s">
        <v>48</v>
      </c>
      <c r="J193" t="s">
        <v>21</v>
      </c>
    </row>
    <row r="194" spans="1:10" x14ac:dyDescent="0.45">
      <c r="A194" t="s">
        <v>460</v>
      </c>
      <c r="B194" s="2">
        <v>46167</v>
      </c>
      <c r="C194" t="s">
        <v>172</v>
      </c>
      <c r="D194" t="s">
        <v>110</v>
      </c>
      <c r="E194" t="s">
        <v>85</v>
      </c>
      <c r="F194">
        <v>8</v>
      </c>
      <c r="G194" s="3">
        <v>0</v>
      </c>
      <c r="H194" t="s">
        <v>53</v>
      </c>
      <c r="I194" t="s">
        <v>15</v>
      </c>
      <c r="J194" t="s">
        <v>21</v>
      </c>
    </row>
    <row r="195" spans="1:10" x14ac:dyDescent="0.45">
      <c r="A195" t="s">
        <v>461</v>
      </c>
      <c r="B195" s="2">
        <v>46077</v>
      </c>
      <c r="C195" t="s">
        <v>462</v>
      </c>
      <c r="D195" t="s">
        <v>280</v>
      </c>
      <c r="E195" t="s">
        <v>85</v>
      </c>
      <c r="F195">
        <v>8</v>
      </c>
      <c r="G195" s="3">
        <v>0</v>
      </c>
      <c r="H195" t="s">
        <v>53</v>
      </c>
      <c r="I195" t="s">
        <v>48</v>
      </c>
      <c r="J195" t="s">
        <v>21</v>
      </c>
    </row>
    <row r="196" spans="1:10" x14ac:dyDescent="0.45">
      <c r="A196" t="s">
        <v>463</v>
      </c>
      <c r="B196" s="2">
        <v>45870</v>
      </c>
      <c r="C196" t="s">
        <v>87</v>
      </c>
      <c r="D196" t="s">
        <v>205</v>
      </c>
      <c r="E196" t="s">
        <v>82</v>
      </c>
      <c r="F196">
        <v>1</v>
      </c>
      <c r="G196" s="3">
        <v>0.03</v>
      </c>
      <c r="H196" t="s">
        <v>14</v>
      </c>
      <c r="I196" t="s">
        <v>27</v>
      </c>
      <c r="J196" t="s">
        <v>21</v>
      </c>
    </row>
    <row r="197" spans="1:10" x14ac:dyDescent="0.45">
      <c r="A197" t="s">
        <v>464</v>
      </c>
      <c r="B197" s="2">
        <v>45963</v>
      </c>
      <c r="C197" t="s">
        <v>368</v>
      </c>
      <c r="D197" t="s">
        <v>94</v>
      </c>
      <c r="E197" t="s">
        <v>82</v>
      </c>
      <c r="F197">
        <v>6</v>
      </c>
      <c r="G197" s="3">
        <v>0</v>
      </c>
      <c r="H197" t="s">
        <v>14</v>
      </c>
      <c r="I197" t="s">
        <v>15</v>
      </c>
      <c r="J197" t="s">
        <v>107</v>
      </c>
    </row>
    <row r="198" spans="1:10" x14ac:dyDescent="0.45">
      <c r="A198" t="s">
        <v>465</v>
      </c>
      <c r="B198" s="2">
        <v>45839</v>
      </c>
      <c r="C198" t="s">
        <v>466</v>
      </c>
      <c r="D198" t="s">
        <v>106</v>
      </c>
      <c r="E198" t="s">
        <v>82</v>
      </c>
      <c r="F198">
        <v>8</v>
      </c>
      <c r="G198" s="3">
        <v>0.1</v>
      </c>
      <c r="H198" t="s">
        <v>26</v>
      </c>
      <c r="I198" t="s">
        <v>48</v>
      </c>
      <c r="J198" t="s">
        <v>59</v>
      </c>
    </row>
    <row r="199" spans="1:10" x14ac:dyDescent="0.45">
      <c r="A199" t="s">
        <v>467</v>
      </c>
      <c r="B199" s="2">
        <v>45727</v>
      </c>
      <c r="C199" t="s">
        <v>451</v>
      </c>
      <c r="D199" t="s">
        <v>139</v>
      </c>
      <c r="E199" t="s">
        <v>136</v>
      </c>
      <c r="F199">
        <v>7</v>
      </c>
      <c r="G199" s="3">
        <v>0</v>
      </c>
      <c r="H199" t="s">
        <v>14</v>
      </c>
      <c r="I199" t="s">
        <v>54</v>
      </c>
      <c r="J199" t="s">
        <v>21</v>
      </c>
    </row>
    <row r="200" spans="1:10" x14ac:dyDescent="0.45">
      <c r="A200" t="s">
        <v>468</v>
      </c>
      <c r="B200" s="2">
        <v>46081</v>
      </c>
      <c r="C200" t="s">
        <v>469</v>
      </c>
      <c r="D200" t="s">
        <v>148</v>
      </c>
      <c r="E200" t="s">
        <v>140</v>
      </c>
      <c r="F200">
        <v>9</v>
      </c>
      <c r="G200" s="3">
        <v>0.05</v>
      </c>
      <c r="H200" t="s">
        <v>53</v>
      </c>
      <c r="I200" t="s">
        <v>48</v>
      </c>
      <c r="J200" t="s">
        <v>21</v>
      </c>
    </row>
    <row r="201" spans="1:10" x14ac:dyDescent="0.45">
      <c r="A201" t="s">
        <v>470</v>
      </c>
      <c r="B201" s="2">
        <v>46153</v>
      </c>
      <c r="C201" t="s">
        <v>471</v>
      </c>
      <c r="D201" t="s">
        <v>404</v>
      </c>
      <c r="E201" t="s">
        <v>127</v>
      </c>
      <c r="F201">
        <v>12</v>
      </c>
      <c r="G201" s="3">
        <v>0.08</v>
      </c>
      <c r="H201" t="s">
        <v>14</v>
      </c>
      <c r="I201" t="s">
        <v>27</v>
      </c>
      <c r="J201" t="s">
        <v>21</v>
      </c>
    </row>
    <row r="202" spans="1:10" x14ac:dyDescent="0.45">
      <c r="A202" t="s">
        <v>472</v>
      </c>
      <c r="B202" s="2">
        <v>45790</v>
      </c>
      <c r="C202" t="s">
        <v>150</v>
      </c>
      <c r="D202" t="s">
        <v>30</v>
      </c>
      <c r="E202" t="s">
        <v>58</v>
      </c>
      <c r="F202">
        <v>10</v>
      </c>
      <c r="G202" s="3">
        <v>0.2</v>
      </c>
      <c r="H202" t="s">
        <v>14</v>
      </c>
      <c r="I202" t="s">
        <v>15</v>
      </c>
      <c r="J202" t="s">
        <v>21</v>
      </c>
    </row>
    <row r="203" spans="1:10" x14ac:dyDescent="0.45">
      <c r="A203" t="s">
        <v>473</v>
      </c>
      <c r="B203" s="2">
        <v>45955</v>
      </c>
      <c r="C203" t="s">
        <v>297</v>
      </c>
      <c r="D203" t="s">
        <v>34</v>
      </c>
      <c r="E203" t="s">
        <v>218</v>
      </c>
      <c r="F203">
        <v>4</v>
      </c>
      <c r="G203" s="3">
        <v>0</v>
      </c>
      <c r="H203" t="s">
        <v>14</v>
      </c>
      <c r="I203" t="s">
        <v>15</v>
      </c>
      <c r="J203" t="s">
        <v>21</v>
      </c>
    </row>
    <row r="204" spans="1:10" x14ac:dyDescent="0.45">
      <c r="A204" t="s">
        <v>474</v>
      </c>
      <c r="B204" s="2">
        <v>46082</v>
      </c>
      <c r="C204" t="s">
        <v>243</v>
      </c>
      <c r="D204" t="s">
        <v>249</v>
      </c>
      <c r="E204" t="s">
        <v>82</v>
      </c>
      <c r="F204">
        <v>7</v>
      </c>
      <c r="G204" s="3">
        <v>0</v>
      </c>
      <c r="H204" t="s">
        <v>14</v>
      </c>
      <c r="I204" t="s">
        <v>54</v>
      </c>
      <c r="J204" t="s">
        <v>21</v>
      </c>
    </row>
    <row r="205" spans="1:10" x14ac:dyDescent="0.45">
      <c r="A205" t="s">
        <v>475</v>
      </c>
      <c r="B205" s="2">
        <v>45727</v>
      </c>
      <c r="C205" t="s">
        <v>476</v>
      </c>
      <c r="D205" t="s">
        <v>106</v>
      </c>
      <c r="E205" t="s">
        <v>152</v>
      </c>
      <c r="F205">
        <v>5</v>
      </c>
      <c r="G205" s="3">
        <v>0.08</v>
      </c>
      <c r="H205" t="s">
        <v>14</v>
      </c>
      <c r="I205" t="s">
        <v>27</v>
      </c>
      <c r="J205" t="s">
        <v>59</v>
      </c>
    </row>
    <row r="206" spans="1:10" x14ac:dyDescent="0.45">
      <c r="A206" t="s">
        <v>477</v>
      </c>
      <c r="B206" s="2">
        <v>46063</v>
      </c>
      <c r="C206" t="s">
        <v>478</v>
      </c>
      <c r="D206" t="s">
        <v>148</v>
      </c>
      <c r="E206" t="s">
        <v>281</v>
      </c>
      <c r="F206">
        <v>12</v>
      </c>
      <c r="G206" s="3">
        <v>0</v>
      </c>
      <c r="H206" t="s">
        <v>53</v>
      </c>
      <c r="I206" t="s">
        <v>54</v>
      </c>
      <c r="J206" t="s">
        <v>21</v>
      </c>
    </row>
    <row r="207" spans="1:10" x14ac:dyDescent="0.45">
      <c r="A207" t="s">
        <v>479</v>
      </c>
      <c r="B207" s="2">
        <v>45694</v>
      </c>
      <c r="C207" t="s">
        <v>480</v>
      </c>
      <c r="D207" t="s">
        <v>238</v>
      </c>
      <c r="E207" t="s">
        <v>47</v>
      </c>
      <c r="F207">
        <v>11</v>
      </c>
      <c r="G207" s="3">
        <v>0.03</v>
      </c>
      <c r="H207" t="s">
        <v>14</v>
      </c>
      <c r="I207" t="s">
        <v>15</v>
      </c>
      <c r="J207" t="s">
        <v>36</v>
      </c>
    </row>
    <row r="208" spans="1:10" x14ac:dyDescent="0.45">
      <c r="A208" t="s">
        <v>481</v>
      </c>
      <c r="B208" s="2">
        <v>46081</v>
      </c>
      <c r="C208" t="s">
        <v>482</v>
      </c>
      <c r="D208" t="s">
        <v>148</v>
      </c>
      <c r="E208" t="s">
        <v>85</v>
      </c>
      <c r="F208">
        <v>12</v>
      </c>
      <c r="G208" s="3">
        <v>0</v>
      </c>
      <c r="H208" t="s">
        <v>53</v>
      </c>
      <c r="I208" t="s">
        <v>27</v>
      </c>
      <c r="J208" t="s">
        <v>21</v>
      </c>
    </row>
    <row r="209" spans="1:10" x14ac:dyDescent="0.45">
      <c r="A209" t="s">
        <v>483</v>
      </c>
      <c r="B209" s="2">
        <v>45677</v>
      </c>
      <c r="C209" t="s">
        <v>307</v>
      </c>
      <c r="D209" t="s">
        <v>88</v>
      </c>
      <c r="E209" t="s">
        <v>52</v>
      </c>
      <c r="F209">
        <v>4</v>
      </c>
      <c r="G209" s="3">
        <v>0.1</v>
      </c>
      <c r="H209" t="s">
        <v>53</v>
      </c>
      <c r="I209" t="s">
        <v>27</v>
      </c>
      <c r="J209" t="s">
        <v>21</v>
      </c>
    </row>
    <row r="210" spans="1:10" x14ac:dyDescent="0.45">
      <c r="A210" t="s">
        <v>484</v>
      </c>
      <c r="B210" s="2">
        <v>46005</v>
      </c>
      <c r="C210" t="s">
        <v>398</v>
      </c>
      <c r="D210" t="s">
        <v>205</v>
      </c>
      <c r="E210" t="s">
        <v>97</v>
      </c>
      <c r="F210">
        <v>7</v>
      </c>
      <c r="G210" s="3">
        <v>0.03</v>
      </c>
      <c r="H210" t="s">
        <v>14</v>
      </c>
      <c r="I210" t="s">
        <v>15</v>
      </c>
      <c r="J210" t="s">
        <v>21</v>
      </c>
    </row>
    <row r="211" spans="1:10" x14ac:dyDescent="0.45">
      <c r="A211" t="s">
        <v>485</v>
      </c>
      <c r="B211" s="2">
        <v>45980</v>
      </c>
      <c r="C211" t="s">
        <v>486</v>
      </c>
      <c r="D211" t="s">
        <v>320</v>
      </c>
      <c r="E211" t="s">
        <v>72</v>
      </c>
      <c r="F211">
        <v>12</v>
      </c>
      <c r="G211" s="3">
        <v>0</v>
      </c>
      <c r="H211" t="s">
        <v>14</v>
      </c>
      <c r="I211" t="s">
        <v>48</v>
      </c>
      <c r="J211" t="s">
        <v>21</v>
      </c>
    </row>
    <row r="212" spans="1:10" x14ac:dyDescent="0.45">
      <c r="A212" t="s">
        <v>487</v>
      </c>
      <c r="B212" s="2">
        <v>45967</v>
      </c>
      <c r="C212" t="s">
        <v>488</v>
      </c>
      <c r="D212" t="s">
        <v>139</v>
      </c>
      <c r="E212" t="s">
        <v>85</v>
      </c>
      <c r="F212">
        <v>4</v>
      </c>
      <c r="G212" s="3">
        <v>0.08</v>
      </c>
      <c r="H212" t="s">
        <v>14</v>
      </c>
      <c r="I212" t="s">
        <v>27</v>
      </c>
      <c r="J212" t="s">
        <v>16</v>
      </c>
    </row>
    <row r="213" spans="1:10" x14ac:dyDescent="0.45">
      <c r="A213" t="s">
        <v>489</v>
      </c>
      <c r="B213" s="2">
        <v>46112</v>
      </c>
      <c r="C213" t="s">
        <v>490</v>
      </c>
      <c r="D213" t="s">
        <v>430</v>
      </c>
      <c r="E213" t="s">
        <v>127</v>
      </c>
      <c r="F213">
        <v>9</v>
      </c>
      <c r="G213" s="3">
        <v>0</v>
      </c>
      <c r="H213" t="s">
        <v>53</v>
      </c>
      <c r="I213" t="s">
        <v>54</v>
      </c>
      <c r="J213" t="s">
        <v>21</v>
      </c>
    </row>
    <row r="214" spans="1:10" x14ac:dyDescent="0.45">
      <c r="A214" t="s">
        <v>491</v>
      </c>
      <c r="B214" s="2">
        <v>45993</v>
      </c>
      <c r="C214" t="s">
        <v>492</v>
      </c>
      <c r="D214" t="s">
        <v>404</v>
      </c>
      <c r="E214" t="s">
        <v>101</v>
      </c>
      <c r="F214">
        <v>3</v>
      </c>
      <c r="G214" s="3">
        <v>0</v>
      </c>
      <c r="H214" t="s">
        <v>53</v>
      </c>
      <c r="I214" t="s">
        <v>54</v>
      </c>
      <c r="J214" t="s">
        <v>21</v>
      </c>
    </row>
    <row r="215" spans="1:10" x14ac:dyDescent="0.45">
      <c r="A215" t="s">
        <v>493</v>
      </c>
      <c r="B215" s="2">
        <v>46192</v>
      </c>
      <c r="C215" t="s">
        <v>494</v>
      </c>
      <c r="D215" t="s">
        <v>75</v>
      </c>
      <c r="E215" t="s">
        <v>136</v>
      </c>
      <c r="F215">
        <v>2</v>
      </c>
      <c r="G215" s="3">
        <v>0</v>
      </c>
      <c r="H215" t="s">
        <v>14</v>
      </c>
      <c r="I215" t="s">
        <v>48</v>
      </c>
      <c r="J215" t="s">
        <v>59</v>
      </c>
    </row>
    <row r="216" spans="1:10" x14ac:dyDescent="0.45">
      <c r="A216" t="s">
        <v>495</v>
      </c>
      <c r="B216" s="2">
        <v>46136</v>
      </c>
      <c r="C216" t="s">
        <v>496</v>
      </c>
      <c r="D216" t="s">
        <v>46</v>
      </c>
      <c r="E216" t="s">
        <v>281</v>
      </c>
      <c r="F216">
        <v>1</v>
      </c>
      <c r="G216" s="3">
        <v>0</v>
      </c>
      <c r="H216" t="s">
        <v>14</v>
      </c>
      <c r="I216" t="s">
        <v>27</v>
      </c>
      <c r="J216" t="s">
        <v>21</v>
      </c>
    </row>
    <row r="217" spans="1:10" x14ac:dyDescent="0.45">
      <c r="A217" t="s">
        <v>497</v>
      </c>
      <c r="B217" s="2">
        <v>45872</v>
      </c>
      <c r="C217" t="s">
        <v>355</v>
      </c>
      <c r="D217" t="s">
        <v>320</v>
      </c>
      <c r="E217" t="s">
        <v>25</v>
      </c>
      <c r="F217">
        <v>6</v>
      </c>
      <c r="G217" s="3">
        <v>0.05</v>
      </c>
      <c r="H217" t="s">
        <v>14</v>
      </c>
      <c r="I217" t="s">
        <v>27</v>
      </c>
      <c r="J217" t="s">
        <v>21</v>
      </c>
    </row>
    <row r="218" spans="1:10" x14ac:dyDescent="0.45">
      <c r="A218" t="s">
        <v>498</v>
      </c>
      <c r="B218" s="2">
        <v>45778</v>
      </c>
      <c r="C218" t="s">
        <v>499</v>
      </c>
      <c r="D218" t="s">
        <v>500</v>
      </c>
      <c r="E218" t="s">
        <v>20</v>
      </c>
      <c r="F218">
        <v>5</v>
      </c>
      <c r="G218" s="3">
        <v>0.03</v>
      </c>
      <c r="H218" t="s">
        <v>14</v>
      </c>
      <c r="I218" t="s">
        <v>48</v>
      </c>
      <c r="J218" t="s">
        <v>21</v>
      </c>
    </row>
    <row r="219" spans="1:10" x14ac:dyDescent="0.45">
      <c r="A219" t="s">
        <v>501</v>
      </c>
      <c r="B219" s="2">
        <v>45762</v>
      </c>
      <c r="C219" t="s">
        <v>414</v>
      </c>
      <c r="D219" t="s">
        <v>502</v>
      </c>
      <c r="E219" t="s">
        <v>140</v>
      </c>
      <c r="F219">
        <v>4</v>
      </c>
      <c r="G219" s="3">
        <v>0.1</v>
      </c>
      <c r="H219" t="s">
        <v>14</v>
      </c>
      <c r="I219" t="s">
        <v>27</v>
      </c>
      <c r="J219" t="s">
        <v>21</v>
      </c>
    </row>
    <row r="220" spans="1:10" x14ac:dyDescent="0.45">
      <c r="A220" t="s">
        <v>503</v>
      </c>
      <c r="B220" s="2">
        <v>45908</v>
      </c>
      <c r="C220" t="s">
        <v>504</v>
      </c>
      <c r="D220" t="s">
        <v>106</v>
      </c>
      <c r="E220" t="s">
        <v>197</v>
      </c>
      <c r="F220">
        <v>3</v>
      </c>
      <c r="G220" s="3">
        <v>0</v>
      </c>
      <c r="H220" t="s">
        <v>14</v>
      </c>
      <c r="I220" t="s">
        <v>27</v>
      </c>
      <c r="J220" t="s">
        <v>21</v>
      </c>
    </row>
    <row r="221" spans="1:10" x14ac:dyDescent="0.45">
      <c r="A221" t="s">
        <v>505</v>
      </c>
      <c r="B221" s="2">
        <v>46140</v>
      </c>
      <c r="C221" t="s">
        <v>506</v>
      </c>
      <c r="D221" t="s">
        <v>91</v>
      </c>
      <c r="E221" t="s">
        <v>97</v>
      </c>
      <c r="F221">
        <v>11</v>
      </c>
      <c r="G221" s="3">
        <v>0</v>
      </c>
      <c r="H221" t="s">
        <v>14</v>
      </c>
      <c r="I221" t="s">
        <v>48</v>
      </c>
      <c r="J221" t="s">
        <v>21</v>
      </c>
    </row>
    <row r="222" spans="1:10" x14ac:dyDescent="0.45">
      <c r="A222" t="s">
        <v>507</v>
      </c>
      <c r="B222" s="2">
        <v>46114</v>
      </c>
      <c r="C222" t="s">
        <v>508</v>
      </c>
      <c r="D222" t="s">
        <v>185</v>
      </c>
      <c r="E222" t="s">
        <v>72</v>
      </c>
      <c r="F222">
        <v>10</v>
      </c>
      <c r="G222" s="3">
        <v>0.1</v>
      </c>
      <c r="H222" t="s">
        <v>14</v>
      </c>
      <c r="I222" t="s">
        <v>54</v>
      </c>
      <c r="J222" t="s">
        <v>59</v>
      </c>
    </row>
    <row r="223" spans="1:10" x14ac:dyDescent="0.45">
      <c r="A223" t="s">
        <v>509</v>
      </c>
      <c r="B223" s="2">
        <v>46134</v>
      </c>
      <c r="C223" t="s">
        <v>510</v>
      </c>
      <c r="D223" t="s">
        <v>272</v>
      </c>
      <c r="E223" t="s">
        <v>127</v>
      </c>
      <c r="F223">
        <v>10</v>
      </c>
      <c r="G223" s="3">
        <v>0.03</v>
      </c>
      <c r="H223" t="s">
        <v>14</v>
      </c>
      <c r="I223" t="s">
        <v>15</v>
      </c>
      <c r="J223" t="s">
        <v>21</v>
      </c>
    </row>
    <row r="224" spans="1:10" x14ac:dyDescent="0.45">
      <c r="A224" t="s">
        <v>511</v>
      </c>
      <c r="B224" s="2">
        <v>45895</v>
      </c>
      <c r="C224" t="s">
        <v>459</v>
      </c>
      <c r="D224" t="s">
        <v>449</v>
      </c>
      <c r="E224" t="s">
        <v>47</v>
      </c>
      <c r="F224">
        <v>4</v>
      </c>
      <c r="G224" s="3">
        <v>0.03</v>
      </c>
      <c r="H224" t="s">
        <v>53</v>
      </c>
      <c r="I224" t="s">
        <v>27</v>
      </c>
      <c r="J224" t="s">
        <v>36</v>
      </c>
    </row>
    <row r="225" spans="1:10" x14ac:dyDescent="0.45">
      <c r="A225" t="s">
        <v>512</v>
      </c>
      <c r="B225" s="2">
        <v>45996</v>
      </c>
      <c r="C225" t="s">
        <v>508</v>
      </c>
      <c r="D225" t="s">
        <v>439</v>
      </c>
      <c r="E225" t="s">
        <v>72</v>
      </c>
      <c r="F225">
        <v>6</v>
      </c>
      <c r="G225" s="3">
        <v>0.2</v>
      </c>
      <c r="H225" t="s">
        <v>14</v>
      </c>
      <c r="I225" t="s">
        <v>48</v>
      </c>
      <c r="J225" t="s">
        <v>21</v>
      </c>
    </row>
    <row r="226" spans="1:10" x14ac:dyDescent="0.45">
      <c r="A226" t="s">
        <v>513</v>
      </c>
      <c r="B226" s="2">
        <v>45832</v>
      </c>
      <c r="C226" t="s">
        <v>514</v>
      </c>
      <c r="D226" t="s">
        <v>238</v>
      </c>
      <c r="E226" t="s">
        <v>85</v>
      </c>
      <c r="F226">
        <v>5</v>
      </c>
      <c r="G226" s="3">
        <v>0.1</v>
      </c>
      <c r="H226" t="s">
        <v>53</v>
      </c>
      <c r="I226" t="s">
        <v>54</v>
      </c>
      <c r="J226" t="s">
        <v>21</v>
      </c>
    </row>
    <row r="227" spans="1:10" x14ac:dyDescent="0.45">
      <c r="A227" t="s">
        <v>515</v>
      </c>
      <c r="B227" s="2">
        <v>45730</v>
      </c>
      <c r="C227" t="s">
        <v>516</v>
      </c>
      <c r="D227" t="s">
        <v>12</v>
      </c>
      <c r="E227" t="s">
        <v>281</v>
      </c>
      <c r="F227">
        <v>5</v>
      </c>
      <c r="G227" s="3">
        <v>0.2</v>
      </c>
      <c r="H227" t="s">
        <v>14</v>
      </c>
      <c r="I227" t="s">
        <v>15</v>
      </c>
      <c r="J227" t="s">
        <v>21</v>
      </c>
    </row>
    <row r="228" spans="1:10" x14ac:dyDescent="0.45">
      <c r="A228" t="s">
        <v>517</v>
      </c>
      <c r="B228" s="2">
        <v>46151</v>
      </c>
      <c r="C228" t="s">
        <v>518</v>
      </c>
      <c r="D228" t="s">
        <v>43</v>
      </c>
      <c r="E228" t="s">
        <v>144</v>
      </c>
      <c r="F228">
        <v>7</v>
      </c>
      <c r="G228" s="3">
        <v>0</v>
      </c>
      <c r="H228" t="s">
        <v>14</v>
      </c>
      <c r="I228" t="s">
        <v>15</v>
      </c>
      <c r="J228" t="s">
        <v>16</v>
      </c>
    </row>
    <row r="229" spans="1:10" x14ac:dyDescent="0.45">
      <c r="A229" t="s">
        <v>519</v>
      </c>
      <c r="B229" s="2">
        <v>45899</v>
      </c>
      <c r="C229" t="s">
        <v>520</v>
      </c>
      <c r="D229" t="s">
        <v>196</v>
      </c>
      <c r="E229" t="s">
        <v>281</v>
      </c>
      <c r="F229">
        <v>3</v>
      </c>
      <c r="G229" s="3">
        <v>0</v>
      </c>
      <c r="H229" t="s">
        <v>53</v>
      </c>
      <c r="I229" t="s">
        <v>15</v>
      </c>
      <c r="J229" t="s">
        <v>21</v>
      </c>
    </row>
    <row r="230" spans="1:10" x14ac:dyDescent="0.45">
      <c r="A230" t="s">
        <v>521</v>
      </c>
      <c r="B230" s="2">
        <v>45757</v>
      </c>
      <c r="C230" t="s">
        <v>227</v>
      </c>
      <c r="D230" t="s">
        <v>449</v>
      </c>
      <c r="E230" t="s">
        <v>281</v>
      </c>
      <c r="F230">
        <v>8</v>
      </c>
      <c r="G230" s="3">
        <v>0.03</v>
      </c>
      <c r="H230" t="s">
        <v>14</v>
      </c>
      <c r="I230" t="s">
        <v>15</v>
      </c>
      <c r="J230" t="s">
        <v>21</v>
      </c>
    </row>
    <row r="231" spans="1:10" x14ac:dyDescent="0.45">
      <c r="A231" t="s">
        <v>522</v>
      </c>
      <c r="B231" s="2">
        <v>46046</v>
      </c>
      <c r="C231" t="s">
        <v>184</v>
      </c>
      <c r="D231" t="s">
        <v>81</v>
      </c>
      <c r="E231" t="s">
        <v>40</v>
      </c>
      <c r="F231">
        <v>6</v>
      </c>
      <c r="G231" s="3">
        <v>0.2</v>
      </c>
      <c r="H231" t="s">
        <v>53</v>
      </c>
      <c r="I231" t="s">
        <v>48</v>
      </c>
      <c r="J231" t="s">
        <v>21</v>
      </c>
    </row>
    <row r="232" spans="1:10" x14ac:dyDescent="0.45">
      <c r="A232" t="s">
        <v>523</v>
      </c>
      <c r="B232" s="2">
        <v>45658</v>
      </c>
      <c r="C232" t="s">
        <v>524</v>
      </c>
      <c r="D232" t="s">
        <v>182</v>
      </c>
      <c r="E232" t="s">
        <v>197</v>
      </c>
      <c r="F232">
        <v>3</v>
      </c>
      <c r="G232" s="3">
        <v>0.03</v>
      </c>
      <c r="H232" t="s">
        <v>14</v>
      </c>
      <c r="I232" t="s">
        <v>27</v>
      </c>
      <c r="J232" t="s">
        <v>21</v>
      </c>
    </row>
    <row r="233" spans="1:10" x14ac:dyDescent="0.45">
      <c r="A233" t="s">
        <v>525</v>
      </c>
      <c r="B233" s="2">
        <v>45868</v>
      </c>
      <c r="C233" t="s">
        <v>526</v>
      </c>
      <c r="D233" t="s">
        <v>62</v>
      </c>
      <c r="E233" t="s">
        <v>115</v>
      </c>
      <c r="F233">
        <v>11</v>
      </c>
      <c r="G233" s="3">
        <v>0.1</v>
      </c>
      <c r="H233" t="s">
        <v>14</v>
      </c>
      <c r="I233" t="s">
        <v>27</v>
      </c>
      <c r="J233" t="s">
        <v>36</v>
      </c>
    </row>
    <row r="234" spans="1:10" x14ac:dyDescent="0.45">
      <c r="A234" t="s">
        <v>527</v>
      </c>
      <c r="B234" s="2">
        <v>45666</v>
      </c>
      <c r="C234" t="s">
        <v>520</v>
      </c>
      <c r="D234" t="s">
        <v>170</v>
      </c>
      <c r="E234" t="s">
        <v>127</v>
      </c>
      <c r="F234">
        <v>10</v>
      </c>
      <c r="G234" s="3">
        <v>0.15</v>
      </c>
      <c r="H234" t="s">
        <v>53</v>
      </c>
      <c r="I234" t="s">
        <v>27</v>
      </c>
      <c r="J234" t="s">
        <v>21</v>
      </c>
    </row>
    <row r="235" spans="1:10" x14ac:dyDescent="0.45">
      <c r="A235" t="s">
        <v>528</v>
      </c>
      <c r="B235" s="2">
        <v>46025</v>
      </c>
      <c r="C235" t="s">
        <v>379</v>
      </c>
      <c r="D235" t="s">
        <v>529</v>
      </c>
      <c r="E235" t="s">
        <v>97</v>
      </c>
      <c r="F235">
        <v>2</v>
      </c>
      <c r="G235" s="3">
        <v>0.08</v>
      </c>
      <c r="H235" t="s">
        <v>53</v>
      </c>
      <c r="I235" t="s">
        <v>54</v>
      </c>
      <c r="J235" t="s">
        <v>21</v>
      </c>
    </row>
    <row r="236" spans="1:10" x14ac:dyDescent="0.45">
      <c r="A236" t="s">
        <v>530</v>
      </c>
      <c r="B236" s="2">
        <v>45983</v>
      </c>
      <c r="C236" t="s">
        <v>531</v>
      </c>
      <c r="D236" t="s">
        <v>318</v>
      </c>
      <c r="E236" t="s">
        <v>25</v>
      </c>
      <c r="F236">
        <v>12</v>
      </c>
      <c r="G236" s="3">
        <v>0.15</v>
      </c>
      <c r="H236" t="s">
        <v>14</v>
      </c>
      <c r="I236" t="s">
        <v>15</v>
      </c>
      <c r="J236" t="s">
        <v>21</v>
      </c>
    </row>
    <row r="237" spans="1:10" x14ac:dyDescent="0.45">
      <c r="A237" t="s">
        <v>532</v>
      </c>
      <c r="B237" s="2">
        <v>45800</v>
      </c>
      <c r="C237" t="s">
        <v>533</v>
      </c>
      <c r="D237" t="s">
        <v>185</v>
      </c>
      <c r="E237" t="s">
        <v>47</v>
      </c>
      <c r="F237">
        <v>4</v>
      </c>
      <c r="G237" s="3">
        <v>0.15</v>
      </c>
      <c r="H237" t="s">
        <v>53</v>
      </c>
      <c r="I237" t="s">
        <v>27</v>
      </c>
      <c r="J237" t="s">
        <v>16</v>
      </c>
    </row>
    <row r="238" spans="1:10" x14ac:dyDescent="0.45">
      <c r="A238" t="s">
        <v>534</v>
      </c>
      <c r="B238" s="2">
        <v>45786</v>
      </c>
      <c r="C238" t="s">
        <v>535</v>
      </c>
      <c r="D238" t="s">
        <v>106</v>
      </c>
      <c r="E238" t="s">
        <v>20</v>
      </c>
      <c r="F238">
        <v>3</v>
      </c>
      <c r="G238" s="3">
        <v>0</v>
      </c>
      <c r="H238" t="s">
        <v>14</v>
      </c>
      <c r="I238" t="s">
        <v>48</v>
      </c>
      <c r="J238" t="s">
        <v>21</v>
      </c>
    </row>
    <row r="239" spans="1:10" x14ac:dyDescent="0.45">
      <c r="A239" t="s">
        <v>536</v>
      </c>
      <c r="B239" s="2">
        <v>45744</v>
      </c>
      <c r="C239" t="s">
        <v>199</v>
      </c>
      <c r="D239" t="s">
        <v>235</v>
      </c>
      <c r="E239" t="s">
        <v>225</v>
      </c>
      <c r="F239">
        <v>3</v>
      </c>
      <c r="G239" s="3">
        <v>0.15</v>
      </c>
      <c r="H239" t="s">
        <v>53</v>
      </c>
      <c r="I239" t="s">
        <v>15</v>
      </c>
      <c r="J239" t="s">
        <v>21</v>
      </c>
    </row>
    <row r="240" spans="1:10" x14ac:dyDescent="0.45">
      <c r="A240" t="s">
        <v>537</v>
      </c>
      <c r="B240" s="2">
        <v>46118</v>
      </c>
      <c r="C240" t="s">
        <v>538</v>
      </c>
      <c r="D240" t="s">
        <v>118</v>
      </c>
      <c r="E240" t="s">
        <v>13</v>
      </c>
      <c r="F240">
        <v>7</v>
      </c>
      <c r="G240" s="3">
        <v>0.1</v>
      </c>
      <c r="H240" t="s">
        <v>14</v>
      </c>
      <c r="I240" t="s">
        <v>15</v>
      </c>
      <c r="J240" t="s">
        <v>21</v>
      </c>
    </row>
    <row r="241" spans="1:10" x14ac:dyDescent="0.45">
      <c r="A241" t="s">
        <v>539</v>
      </c>
      <c r="B241" s="2">
        <v>45900</v>
      </c>
      <c r="C241" t="s">
        <v>526</v>
      </c>
      <c r="D241" t="s">
        <v>365</v>
      </c>
      <c r="E241" t="s">
        <v>111</v>
      </c>
      <c r="F241">
        <v>12</v>
      </c>
      <c r="G241" s="3">
        <v>0.08</v>
      </c>
      <c r="H241" t="s">
        <v>14</v>
      </c>
      <c r="I241" t="s">
        <v>27</v>
      </c>
      <c r="J241" t="s">
        <v>21</v>
      </c>
    </row>
    <row r="242" spans="1:10" x14ac:dyDescent="0.45">
      <c r="A242" t="s">
        <v>540</v>
      </c>
      <c r="B242" s="2">
        <v>46035</v>
      </c>
      <c r="C242" t="s">
        <v>541</v>
      </c>
      <c r="D242" t="s">
        <v>196</v>
      </c>
      <c r="E242" t="s">
        <v>47</v>
      </c>
      <c r="F242">
        <v>2</v>
      </c>
      <c r="G242" s="3">
        <v>0.2</v>
      </c>
      <c r="H242" t="s">
        <v>26</v>
      </c>
      <c r="I242" t="s">
        <v>48</v>
      </c>
      <c r="J242" t="s">
        <v>21</v>
      </c>
    </row>
    <row r="243" spans="1:10" x14ac:dyDescent="0.45">
      <c r="A243" t="s">
        <v>542</v>
      </c>
      <c r="B243" s="2">
        <v>45944</v>
      </c>
      <c r="C243" t="s">
        <v>543</v>
      </c>
      <c r="D243" t="s">
        <v>404</v>
      </c>
      <c r="E243" t="s">
        <v>40</v>
      </c>
      <c r="F243">
        <v>8</v>
      </c>
      <c r="G243" s="3">
        <v>0</v>
      </c>
      <c r="H243" t="s">
        <v>14</v>
      </c>
      <c r="I243" t="s">
        <v>48</v>
      </c>
      <c r="J243" t="s">
        <v>21</v>
      </c>
    </row>
    <row r="244" spans="1:10" x14ac:dyDescent="0.45">
      <c r="A244" t="s">
        <v>544</v>
      </c>
      <c r="B244" s="2">
        <v>45977</v>
      </c>
      <c r="C244" t="s">
        <v>301</v>
      </c>
      <c r="D244" t="s">
        <v>39</v>
      </c>
      <c r="E244" t="s">
        <v>20</v>
      </c>
      <c r="F244">
        <v>10</v>
      </c>
      <c r="G244" s="3">
        <v>0</v>
      </c>
      <c r="H244" t="s">
        <v>26</v>
      </c>
      <c r="I244" t="s">
        <v>48</v>
      </c>
      <c r="J244" t="s">
        <v>21</v>
      </c>
    </row>
    <row r="245" spans="1:10" x14ac:dyDescent="0.45">
      <c r="A245" t="s">
        <v>545</v>
      </c>
      <c r="B245" s="2">
        <v>45997</v>
      </c>
      <c r="C245" t="s">
        <v>546</v>
      </c>
      <c r="D245" t="s">
        <v>280</v>
      </c>
      <c r="E245" t="s">
        <v>197</v>
      </c>
      <c r="F245">
        <v>7</v>
      </c>
      <c r="G245" s="3">
        <v>0.1</v>
      </c>
      <c r="H245" t="s">
        <v>26</v>
      </c>
      <c r="I245" t="s">
        <v>27</v>
      </c>
      <c r="J245" t="s">
        <v>21</v>
      </c>
    </row>
    <row r="246" spans="1:10" x14ac:dyDescent="0.45">
      <c r="A246" t="s">
        <v>547</v>
      </c>
      <c r="B246" s="2">
        <v>45969</v>
      </c>
      <c r="C246" t="s">
        <v>494</v>
      </c>
      <c r="D246" t="s">
        <v>81</v>
      </c>
      <c r="E246" t="s">
        <v>111</v>
      </c>
      <c r="F246">
        <v>12</v>
      </c>
      <c r="G246" s="3">
        <v>0.08</v>
      </c>
      <c r="H246" t="s">
        <v>14</v>
      </c>
      <c r="I246" t="s">
        <v>15</v>
      </c>
      <c r="J246" t="s">
        <v>21</v>
      </c>
    </row>
    <row r="247" spans="1:10" x14ac:dyDescent="0.45">
      <c r="A247" t="s">
        <v>548</v>
      </c>
      <c r="B247" s="2">
        <v>45956</v>
      </c>
      <c r="C247" t="s">
        <v>549</v>
      </c>
      <c r="D247" t="s">
        <v>529</v>
      </c>
      <c r="E247" t="s">
        <v>20</v>
      </c>
      <c r="F247">
        <v>12</v>
      </c>
      <c r="G247" s="3">
        <v>0</v>
      </c>
      <c r="H247" t="s">
        <v>14</v>
      </c>
      <c r="I247" t="s">
        <v>48</v>
      </c>
      <c r="J247" t="s">
        <v>21</v>
      </c>
    </row>
    <row r="248" spans="1:10" x14ac:dyDescent="0.45">
      <c r="A248" t="s">
        <v>550</v>
      </c>
      <c r="B248" s="2">
        <v>45793</v>
      </c>
      <c r="C248" t="s">
        <v>551</v>
      </c>
      <c r="D248" t="s">
        <v>205</v>
      </c>
      <c r="E248" t="s">
        <v>152</v>
      </c>
      <c r="F248">
        <v>10</v>
      </c>
      <c r="G248" s="3">
        <v>0.08</v>
      </c>
      <c r="H248" t="s">
        <v>14</v>
      </c>
      <c r="I248" t="s">
        <v>27</v>
      </c>
      <c r="J248" t="s">
        <v>21</v>
      </c>
    </row>
    <row r="249" spans="1:10" x14ac:dyDescent="0.45">
      <c r="A249" t="s">
        <v>552</v>
      </c>
      <c r="B249" s="2">
        <v>45812</v>
      </c>
      <c r="C249" t="s">
        <v>553</v>
      </c>
      <c r="D249" t="s">
        <v>114</v>
      </c>
      <c r="E249" t="s">
        <v>144</v>
      </c>
      <c r="F249">
        <v>11</v>
      </c>
      <c r="G249" s="3">
        <v>0.2</v>
      </c>
      <c r="H249" t="s">
        <v>14</v>
      </c>
      <c r="I249" t="s">
        <v>54</v>
      </c>
      <c r="J249" t="s">
        <v>21</v>
      </c>
    </row>
    <row r="250" spans="1:10" x14ac:dyDescent="0.45">
      <c r="A250" t="s">
        <v>554</v>
      </c>
      <c r="B250" s="2">
        <v>45843</v>
      </c>
      <c r="C250" t="s">
        <v>555</v>
      </c>
      <c r="D250" t="s">
        <v>283</v>
      </c>
      <c r="E250" t="s">
        <v>47</v>
      </c>
      <c r="F250">
        <v>9</v>
      </c>
      <c r="G250" s="3">
        <v>0</v>
      </c>
      <c r="H250" t="s">
        <v>14</v>
      </c>
      <c r="I250" t="s">
        <v>48</v>
      </c>
      <c r="J250" t="s">
        <v>107</v>
      </c>
    </row>
    <row r="251" spans="1:10" x14ac:dyDescent="0.45">
      <c r="A251" t="s">
        <v>556</v>
      </c>
      <c r="B251" s="2">
        <v>46080</v>
      </c>
      <c r="C251" t="s">
        <v>496</v>
      </c>
      <c r="D251" t="s">
        <v>246</v>
      </c>
      <c r="E251" t="s">
        <v>47</v>
      </c>
      <c r="F251">
        <v>7</v>
      </c>
      <c r="G251" s="3">
        <v>0.05</v>
      </c>
      <c r="H251" t="s">
        <v>53</v>
      </c>
      <c r="I251" t="s">
        <v>54</v>
      </c>
      <c r="J251" t="s">
        <v>21</v>
      </c>
    </row>
    <row r="252" spans="1:10" x14ac:dyDescent="0.45">
      <c r="A252" t="s">
        <v>557</v>
      </c>
      <c r="B252" s="2">
        <v>45928</v>
      </c>
      <c r="C252" t="s">
        <v>373</v>
      </c>
      <c r="D252" t="s">
        <v>170</v>
      </c>
      <c r="E252" t="s">
        <v>35</v>
      </c>
      <c r="F252">
        <v>2</v>
      </c>
      <c r="G252" s="3">
        <v>0</v>
      </c>
      <c r="H252" t="s">
        <v>14</v>
      </c>
      <c r="I252" t="s">
        <v>15</v>
      </c>
      <c r="J252" t="s">
        <v>21</v>
      </c>
    </row>
    <row r="253" spans="1:10" x14ac:dyDescent="0.45">
      <c r="A253" t="s">
        <v>558</v>
      </c>
      <c r="B253" s="2">
        <v>46046</v>
      </c>
      <c r="C253" t="s">
        <v>559</v>
      </c>
      <c r="D253" t="s">
        <v>272</v>
      </c>
      <c r="E253" t="s">
        <v>218</v>
      </c>
      <c r="F253">
        <v>11</v>
      </c>
      <c r="G253" s="3">
        <v>0.15</v>
      </c>
      <c r="H253" t="s">
        <v>14</v>
      </c>
      <c r="I253" t="s">
        <v>54</v>
      </c>
      <c r="J253" t="s">
        <v>21</v>
      </c>
    </row>
    <row r="254" spans="1:10" x14ac:dyDescent="0.45">
      <c r="A254" t="s">
        <v>560</v>
      </c>
      <c r="B254" s="2">
        <v>46117</v>
      </c>
      <c r="C254" t="s">
        <v>520</v>
      </c>
      <c r="D254" t="s">
        <v>110</v>
      </c>
      <c r="E254" t="s">
        <v>101</v>
      </c>
      <c r="F254">
        <v>7</v>
      </c>
      <c r="G254" s="3">
        <v>0.1</v>
      </c>
      <c r="H254" t="s">
        <v>26</v>
      </c>
      <c r="I254" t="s">
        <v>48</v>
      </c>
      <c r="J254" t="s">
        <v>21</v>
      </c>
    </row>
    <row r="255" spans="1:10" x14ac:dyDescent="0.45">
      <c r="A255" t="s">
        <v>561</v>
      </c>
      <c r="B255" s="2">
        <v>45937</v>
      </c>
      <c r="C255" t="s">
        <v>232</v>
      </c>
      <c r="D255" t="s">
        <v>158</v>
      </c>
      <c r="E255" t="s">
        <v>13</v>
      </c>
      <c r="F255">
        <v>6</v>
      </c>
      <c r="G255" s="3">
        <v>0.08</v>
      </c>
      <c r="H255" t="s">
        <v>14</v>
      </c>
      <c r="I255" t="s">
        <v>48</v>
      </c>
      <c r="J255" t="s">
        <v>21</v>
      </c>
    </row>
    <row r="256" spans="1:10" x14ac:dyDescent="0.45">
      <c r="A256" t="s">
        <v>562</v>
      </c>
      <c r="B256" s="2">
        <v>45905</v>
      </c>
      <c r="C256" t="s">
        <v>120</v>
      </c>
      <c r="D256" t="s">
        <v>318</v>
      </c>
      <c r="E256" t="s">
        <v>85</v>
      </c>
      <c r="F256">
        <v>12</v>
      </c>
      <c r="G256" s="3">
        <v>0.05</v>
      </c>
      <c r="H256" t="s">
        <v>14</v>
      </c>
      <c r="I256" t="s">
        <v>54</v>
      </c>
      <c r="J256" t="s">
        <v>21</v>
      </c>
    </row>
    <row r="257" spans="1:10" x14ac:dyDescent="0.45">
      <c r="A257" t="s">
        <v>563</v>
      </c>
      <c r="B257" s="2">
        <v>45670</v>
      </c>
      <c r="C257" t="s">
        <v>328</v>
      </c>
      <c r="D257" t="s">
        <v>110</v>
      </c>
      <c r="E257" t="s">
        <v>127</v>
      </c>
      <c r="F257">
        <v>7</v>
      </c>
      <c r="G257" s="3">
        <v>0</v>
      </c>
      <c r="H257" t="s">
        <v>14</v>
      </c>
      <c r="I257" t="s">
        <v>15</v>
      </c>
      <c r="J257" t="s">
        <v>21</v>
      </c>
    </row>
    <row r="258" spans="1:10" x14ac:dyDescent="0.45">
      <c r="A258" t="s">
        <v>564</v>
      </c>
      <c r="B258" s="2">
        <v>45855</v>
      </c>
      <c r="C258" t="s">
        <v>565</v>
      </c>
      <c r="D258" t="s">
        <v>106</v>
      </c>
      <c r="E258" t="s">
        <v>152</v>
      </c>
      <c r="F258">
        <v>1</v>
      </c>
      <c r="G258" s="3">
        <v>0</v>
      </c>
      <c r="H258" t="s">
        <v>53</v>
      </c>
      <c r="I258" t="s">
        <v>48</v>
      </c>
      <c r="J258" t="s">
        <v>36</v>
      </c>
    </row>
    <row r="259" spans="1:10" x14ac:dyDescent="0.45">
      <c r="A259" t="s">
        <v>566</v>
      </c>
      <c r="B259" s="2">
        <v>45782</v>
      </c>
      <c r="C259" t="s">
        <v>80</v>
      </c>
      <c r="D259" t="s">
        <v>130</v>
      </c>
      <c r="E259" t="s">
        <v>82</v>
      </c>
      <c r="F259">
        <v>12</v>
      </c>
      <c r="G259" s="3">
        <v>0</v>
      </c>
      <c r="H259" t="s">
        <v>14</v>
      </c>
      <c r="I259" t="s">
        <v>54</v>
      </c>
      <c r="J259" t="s">
        <v>21</v>
      </c>
    </row>
    <row r="260" spans="1:10" x14ac:dyDescent="0.45">
      <c r="A260" t="s">
        <v>567</v>
      </c>
      <c r="B260" s="2">
        <v>45771</v>
      </c>
      <c r="C260" t="s">
        <v>286</v>
      </c>
      <c r="D260" t="s">
        <v>196</v>
      </c>
      <c r="E260" t="s">
        <v>144</v>
      </c>
      <c r="F260">
        <v>12</v>
      </c>
      <c r="G260" s="3">
        <v>0.03</v>
      </c>
      <c r="H260" t="s">
        <v>14</v>
      </c>
      <c r="I260" t="s">
        <v>15</v>
      </c>
      <c r="J260" t="s">
        <v>21</v>
      </c>
    </row>
    <row r="261" spans="1:10" x14ac:dyDescent="0.45">
      <c r="A261" t="s">
        <v>568</v>
      </c>
      <c r="B261" s="2">
        <v>46095</v>
      </c>
      <c r="C261" t="s">
        <v>569</v>
      </c>
      <c r="D261" t="s">
        <v>75</v>
      </c>
      <c r="E261" t="s">
        <v>152</v>
      </c>
      <c r="F261">
        <v>12</v>
      </c>
      <c r="G261" s="3">
        <v>0.1</v>
      </c>
      <c r="H261" t="s">
        <v>14</v>
      </c>
      <c r="I261" t="s">
        <v>48</v>
      </c>
      <c r="J261" t="s">
        <v>21</v>
      </c>
    </row>
    <row r="262" spans="1:10" x14ac:dyDescent="0.45">
      <c r="A262" t="s">
        <v>570</v>
      </c>
      <c r="B262" s="2">
        <v>45998</v>
      </c>
      <c r="C262" t="s">
        <v>571</v>
      </c>
      <c r="D262" t="s">
        <v>161</v>
      </c>
      <c r="E262" t="s">
        <v>136</v>
      </c>
      <c r="F262">
        <v>1</v>
      </c>
      <c r="G262" s="3">
        <v>0.08</v>
      </c>
      <c r="H262" t="s">
        <v>26</v>
      </c>
      <c r="I262" t="s">
        <v>27</v>
      </c>
      <c r="J262" t="s">
        <v>21</v>
      </c>
    </row>
    <row r="263" spans="1:10" x14ac:dyDescent="0.45">
      <c r="A263" t="s">
        <v>572</v>
      </c>
      <c r="B263" s="2">
        <v>46060</v>
      </c>
      <c r="C263" t="s">
        <v>573</v>
      </c>
      <c r="D263" t="s">
        <v>210</v>
      </c>
      <c r="E263" t="s">
        <v>115</v>
      </c>
      <c r="F263">
        <v>3</v>
      </c>
      <c r="G263" s="3">
        <v>0.2</v>
      </c>
      <c r="H263" t="s">
        <v>14</v>
      </c>
      <c r="I263" t="s">
        <v>15</v>
      </c>
      <c r="J263" t="s">
        <v>21</v>
      </c>
    </row>
    <row r="264" spans="1:10" x14ac:dyDescent="0.45">
      <c r="A264" t="s">
        <v>574</v>
      </c>
      <c r="B264" s="2">
        <v>45923</v>
      </c>
      <c r="C264" t="s">
        <v>212</v>
      </c>
      <c r="D264" t="s">
        <v>12</v>
      </c>
      <c r="E264" t="s">
        <v>85</v>
      </c>
      <c r="F264">
        <v>2</v>
      </c>
      <c r="G264" s="3">
        <v>0</v>
      </c>
      <c r="H264" t="s">
        <v>14</v>
      </c>
      <c r="I264" t="s">
        <v>27</v>
      </c>
      <c r="J264" t="s">
        <v>16</v>
      </c>
    </row>
    <row r="265" spans="1:10" x14ac:dyDescent="0.45">
      <c r="A265" t="s">
        <v>575</v>
      </c>
      <c r="B265" s="2">
        <v>45658</v>
      </c>
      <c r="C265" t="s">
        <v>363</v>
      </c>
      <c r="D265" t="s">
        <v>365</v>
      </c>
      <c r="E265" t="s">
        <v>225</v>
      </c>
      <c r="F265">
        <v>1</v>
      </c>
      <c r="G265" s="3">
        <v>0.15</v>
      </c>
      <c r="H265" t="s">
        <v>14</v>
      </c>
      <c r="I265" t="s">
        <v>27</v>
      </c>
      <c r="J265" t="s">
        <v>36</v>
      </c>
    </row>
    <row r="266" spans="1:10" x14ac:dyDescent="0.45">
      <c r="A266" t="s">
        <v>576</v>
      </c>
      <c r="B266" s="2">
        <v>46160</v>
      </c>
      <c r="C266" t="s">
        <v>150</v>
      </c>
      <c r="D266" t="s">
        <v>256</v>
      </c>
      <c r="E266" t="s">
        <v>140</v>
      </c>
      <c r="F266">
        <v>8</v>
      </c>
      <c r="G266" s="3">
        <v>0.15</v>
      </c>
      <c r="H266" t="s">
        <v>14</v>
      </c>
      <c r="I266" t="s">
        <v>48</v>
      </c>
      <c r="J266" t="s">
        <v>21</v>
      </c>
    </row>
    <row r="267" spans="1:10" x14ac:dyDescent="0.45">
      <c r="A267" t="s">
        <v>577</v>
      </c>
      <c r="B267" s="2">
        <v>46151</v>
      </c>
      <c r="C267" t="s">
        <v>578</v>
      </c>
      <c r="D267" t="s">
        <v>456</v>
      </c>
      <c r="E267" t="s">
        <v>72</v>
      </c>
      <c r="F267">
        <v>2</v>
      </c>
      <c r="G267" s="3">
        <v>0.1</v>
      </c>
      <c r="H267" t="s">
        <v>14</v>
      </c>
      <c r="I267" t="s">
        <v>27</v>
      </c>
      <c r="J267" t="s">
        <v>21</v>
      </c>
    </row>
    <row r="268" spans="1:10" x14ac:dyDescent="0.45">
      <c r="A268" t="s">
        <v>579</v>
      </c>
      <c r="B268" s="2">
        <v>46006</v>
      </c>
      <c r="C268" t="s">
        <v>580</v>
      </c>
      <c r="D268" t="s">
        <v>46</v>
      </c>
      <c r="E268" t="s">
        <v>58</v>
      </c>
      <c r="F268">
        <v>2</v>
      </c>
      <c r="G268" s="3">
        <v>0.2</v>
      </c>
      <c r="H268" t="s">
        <v>53</v>
      </c>
      <c r="I268" t="s">
        <v>27</v>
      </c>
      <c r="J268" t="s">
        <v>21</v>
      </c>
    </row>
    <row r="269" spans="1:10" x14ac:dyDescent="0.45">
      <c r="A269" t="s">
        <v>581</v>
      </c>
      <c r="B269" s="2">
        <v>46051</v>
      </c>
      <c r="C269" t="s">
        <v>582</v>
      </c>
      <c r="D269" t="s">
        <v>43</v>
      </c>
      <c r="E269" t="s">
        <v>35</v>
      </c>
      <c r="F269">
        <v>11</v>
      </c>
      <c r="G269" s="3">
        <v>0.05</v>
      </c>
      <c r="H269" t="s">
        <v>14</v>
      </c>
      <c r="I269" t="s">
        <v>15</v>
      </c>
      <c r="J269" t="s">
        <v>36</v>
      </c>
    </row>
    <row r="270" spans="1:10" x14ac:dyDescent="0.45">
      <c r="A270" t="s">
        <v>583</v>
      </c>
      <c r="B270" s="2">
        <v>45744</v>
      </c>
      <c r="C270" t="s">
        <v>301</v>
      </c>
      <c r="D270" t="s">
        <v>158</v>
      </c>
      <c r="E270" t="s">
        <v>47</v>
      </c>
      <c r="F270">
        <v>11</v>
      </c>
      <c r="G270" s="3">
        <v>0.2</v>
      </c>
      <c r="H270" t="s">
        <v>53</v>
      </c>
      <c r="I270" t="s">
        <v>54</v>
      </c>
      <c r="J270" t="s">
        <v>21</v>
      </c>
    </row>
    <row r="271" spans="1:10" x14ac:dyDescent="0.45">
      <c r="A271" t="s">
        <v>584</v>
      </c>
      <c r="B271" s="2">
        <v>46158</v>
      </c>
      <c r="C271" t="s">
        <v>585</v>
      </c>
      <c r="D271" t="s">
        <v>191</v>
      </c>
      <c r="E271" t="s">
        <v>218</v>
      </c>
      <c r="F271">
        <v>7</v>
      </c>
      <c r="G271" s="3">
        <v>0</v>
      </c>
      <c r="H271" t="s">
        <v>53</v>
      </c>
      <c r="I271" t="s">
        <v>27</v>
      </c>
      <c r="J271" t="s">
        <v>21</v>
      </c>
    </row>
    <row r="272" spans="1:10" x14ac:dyDescent="0.45">
      <c r="A272" t="s">
        <v>586</v>
      </c>
      <c r="B272" s="2">
        <v>45695</v>
      </c>
      <c r="C272" t="s">
        <v>390</v>
      </c>
      <c r="D272" t="s">
        <v>62</v>
      </c>
      <c r="E272" t="s">
        <v>97</v>
      </c>
      <c r="F272">
        <v>6</v>
      </c>
      <c r="G272" s="3">
        <v>0</v>
      </c>
      <c r="H272" t="s">
        <v>14</v>
      </c>
      <c r="I272" t="s">
        <v>48</v>
      </c>
      <c r="J272" t="s">
        <v>21</v>
      </c>
    </row>
    <row r="273" spans="1:10" x14ac:dyDescent="0.45">
      <c r="A273" t="s">
        <v>587</v>
      </c>
      <c r="B273" s="2">
        <v>45810</v>
      </c>
      <c r="C273" t="s">
        <v>189</v>
      </c>
      <c r="D273" t="s">
        <v>126</v>
      </c>
      <c r="E273" t="s">
        <v>85</v>
      </c>
      <c r="F273">
        <v>12</v>
      </c>
      <c r="G273" s="3">
        <v>0.05</v>
      </c>
      <c r="H273" t="s">
        <v>26</v>
      </c>
      <c r="I273" t="s">
        <v>48</v>
      </c>
      <c r="J273" t="s">
        <v>59</v>
      </c>
    </row>
    <row r="274" spans="1:10" x14ac:dyDescent="0.45">
      <c r="A274" t="s">
        <v>588</v>
      </c>
      <c r="B274" s="2">
        <v>45704</v>
      </c>
      <c r="C274" t="s">
        <v>589</v>
      </c>
      <c r="D274" t="s">
        <v>217</v>
      </c>
      <c r="E274" t="s">
        <v>47</v>
      </c>
      <c r="F274">
        <v>4</v>
      </c>
      <c r="G274" s="3">
        <v>0.03</v>
      </c>
      <c r="H274" t="s">
        <v>14</v>
      </c>
      <c r="I274" t="s">
        <v>48</v>
      </c>
      <c r="J274" t="s">
        <v>36</v>
      </c>
    </row>
    <row r="275" spans="1:10" x14ac:dyDescent="0.45">
      <c r="A275" t="s">
        <v>590</v>
      </c>
      <c r="B275" s="2">
        <v>45832</v>
      </c>
      <c r="C275" t="s">
        <v>591</v>
      </c>
      <c r="D275" t="s">
        <v>143</v>
      </c>
      <c r="E275" t="s">
        <v>85</v>
      </c>
      <c r="F275">
        <v>10</v>
      </c>
      <c r="G275" s="3">
        <v>0</v>
      </c>
      <c r="H275" t="s">
        <v>53</v>
      </c>
      <c r="I275" t="s">
        <v>48</v>
      </c>
      <c r="J275" t="s">
        <v>21</v>
      </c>
    </row>
    <row r="276" spans="1:10" x14ac:dyDescent="0.45">
      <c r="A276" t="s">
        <v>592</v>
      </c>
      <c r="B276" s="2">
        <v>45722</v>
      </c>
      <c r="C276" t="s">
        <v>496</v>
      </c>
      <c r="D276" t="s">
        <v>34</v>
      </c>
      <c r="E276" t="s">
        <v>218</v>
      </c>
      <c r="F276">
        <v>4</v>
      </c>
      <c r="G276" s="3">
        <v>0.15</v>
      </c>
      <c r="H276" t="s">
        <v>14</v>
      </c>
      <c r="I276" t="s">
        <v>15</v>
      </c>
      <c r="J276" t="s">
        <v>21</v>
      </c>
    </row>
    <row r="277" spans="1:10" x14ac:dyDescent="0.45">
      <c r="A277" t="s">
        <v>593</v>
      </c>
      <c r="B277" s="2">
        <v>45798</v>
      </c>
      <c r="C277" t="s">
        <v>429</v>
      </c>
      <c r="D277" t="s">
        <v>94</v>
      </c>
      <c r="E277" t="s">
        <v>52</v>
      </c>
      <c r="F277">
        <v>6</v>
      </c>
      <c r="G277" s="3">
        <v>0.05</v>
      </c>
      <c r="H277" t="s">
        <v>53</v>
      </c>
      <c r="I277" t="s">
        <v>54</v>
      </c>
      <c r="J277" t="s">
        <v>21</v>
      </c>
    </row>
    <row r="278" spans="1:10" x14ac:dyDescent="0.45">
      <c r="A278" t="s">
        <v>594</v>
      </c>
      <c r="B278" s="2">
        <v>46083</v>
      </c>
      <c r="C278" t="s">
        <v>595</v>
      </c>
      <c r="D278" t="s">
        <v>205</v>
      </c>
      <c r="E278" t="s">
        <v>225</v>
      </c>
      <c r="F278">
        <v>3</v>
      </c>
      <c r="G278" s="3">
        <v>0.1</v>
      </c>
      <c r="H278" t="s">
        <v>14</v>
      </c>
      <c r="I278" t="s">
        <v>15</v>
      </c>
      <c r="J278" t="s">
        <v>21</v>
      </c>
    </row>
    <row r="279" spans="1:10" x14ac:dyDescent="0.45">
      <c r="A279" t="s">
        <v>596</v>
      </c>
      <c r="B279" s="2">
        <v>45760</v>
      </c>
      <c r="C279" t="s">
        <v>597</v>
      </c>
      <c r="D279" t="s">
        <v>348</v>
      </c>
      <c r="E279" t="s">
        <v>225</v>
      </c>
      <c r="F279">
        <v>11</v>
      </c>
      <c r="G279" s="3">
        <v>0.15</v>
      </c>
      <c r="H279" t="s">
        <v>53</v>
      </c>
      <c r="I279" t="s">
        <v>48</v>
      </c>
      <c r="J279" t="s">
        <v>36</v>
      </c>
    </row>
    <row r="280" spans="1:10" x14ac:dyDescent="0.45">
      <c r="A280" t="s">
        <v>598</v>
      </c>
      <c r="B280" s="2">
        <v>45841</v>
      </c>
      <c r="C280" t="s">
        <v>599</v>
      </c>
      <c r="D280" t="s">
        <v>256</v>
      </c>
      <c r="E280" t="s">
        <v>97</v>
      </c>
      <c r="F280">
        <v>2</v>
      </c>
      <c r="G280" s="3">
        <v>0.08</v>
      </c>
      <c r="H280" t="s">
        <v>14</v>
      </c>
      <c r="I280" t="s">
        <v>15</v>
      </c>
      <c r="J280" t="s">
        <v>59</v>
      </c>
    </row>
    <row r="281" spans="1:10" x14ac:dyDescent="0.45">
      <c r="A281" t="s">
        <v>600</v>
      </c>
      <c r="B281" s="2">
        <v>45935</v>
      </c>
      <c r="C281" t="s">
        <v>601</v>
      </c>
      <c r="D281" t="s">
        <v>167</v>
      </c>
      <c r="E281" t="s">
        <v>25</v>
      </c>
      <c r="F281">
        <v>9</v>
      </c>
      <c r="G281" s="3">
        <v>0.2</v>
      </c>
      <c r="H281" t="s">
        <v>14</v>
      </c>
      <c r="I281" t="s">
        <v>54</v>
      </c>
      <c r="J281" t="s">
        <v>21</v>
      </c>
    </row>
    <row r="282" spans="1:10" x14ac:dyDescent="0.45">
      <c r="A282" t="s">
        <v>602</v>
      </c>
      <c r="B282" s="2">
        <v>46169</v>
      </c>
      <c r="C282" t="s">
        <v>541</v>
      </c>
      <c r="D282" t="s">
        <v>81</v>
      </c>
      <c r="E282" t="s">
        <v>144</v>
      </c>
      <c r="F282">
        <v>10</v>
      </c>
      <c r="G282" s="3">
        <v>0</v>
      </c>
      <c r="H282" t="s">
        <v>53</v>
      </c>
      <c r="I282" t="s">
        <v>27</v>
      </c>
      <c r="J282" t="s">
        <v>21</v>
      </c>
    </row>
    <row r="283" spans="1:10" x14ac:dyDescent="0.45">
      <c r="A283" t="s">
        <v>603</v>
      </c>
      <c r="B283" s="2">
        <v>45854</v>
      </c>
      <c r="C283" t="s">
        <v>604</v>
      </c>
      <c r="D283" t="s">
        <v>502</v>
      </c>
      <c r="E283" t="s">
        <v>218</v>
      </c>
      <c r="F283">
        <v>2</v>
      </c>
      <c r="G283" s="3">
        <v>0</v>
      </c>
      <c r="H283" t="s">
        <v>53</v>
      </c>
      <c r="I283" t="s">
        <v>54</v>
      </c>
      <c r="J283" t="s">
        <v>21</v>
      </c>
    </row>
    <row r="284" spans="1:10" x14ac:dyDescent="0.45">
      <c r="A284" t="s">
        <v>605</v>
      </c>
      <c r="B284" s="2">
        <v>45712</v>
      </c>
      <c r="C284" t="s">
        <v>187</v>
      </c>
      <c r="D284" t="s">
        <v>249</v>
      </c>
      <c r="E284" t="s">
        <v>152</v>
      </c>
      <c r="F284">
        <v>4</v>
      </c>
      <c r="G284" s="3">
        <v>0</v>
      </c>
      <c r="H284" t="s">
        <v>53</v>
      </c>
      <c r="I284" t="s">
        <v>15</v>
      </c>
      <c r="J284" t="s">
        <v>21</v>
      </c>
    </row>
    <row r="285" spans="1:10" x14ac:dyDescent="0.45">
      <c r="A285" t="s">
        <v>606</v>
      </c>
      <c r="B285" s="2">
        <v>46030</v>
      </c>
      <c r="C285" t="s">
        <v>11</v>
      </c>
      <c r="D285" t="s">
        <v>348</v>
      </c>
      <c r="E285" t="s">
        <v>35</v>
      </c>
      <c r="F285">
        <v>5</v>
      </c>
      <c r="G285" s="3">
        <v>0.05</v>
      </c>
      <c r="H285" t="s">
        <v>14</v>
      </c>
      <c r="I285" t="s">
        <v>27</v>
      </c>
      <c r="J285" t="s">
        <v>21</v>
      </c>
    </row>
    <row r="286" spans="1:10" x14ac:dyDescent="0.45">
      <c r="A286" t="s">
        <v>607</v>
      </c>
      <c r="B286" s="2">
        <v>45764</v>
      </c>
      <c r="C286" t="s">
        <v>355</v>
      </c>
      <c r="D286" t="s">
        <v>75</v>
      </c>
      <c r="E286" t="s">
        <v>35</v>
      </c>
      <c r="F286">
        <v>12</v>
      </c>
      <c r="G286" s="3">
        <v>0</v>
      </c>
      <c r="H286" t="s">
        <v>26</v>
      </c>
      <c r="I286" t="s">
        <v>54</v>
      </c>
      <c r="J286" t="s">
        <v>21</v>
      </c>
    </row>
    <row r="287" spans="1:10" x14ac:dyDescent="0.45">
      <c r="A287" t="s">
        <v>608</v>
      </c>
      <c r="B287" s="2">
        <v>45776</v>
      </c>
      <c r="C287" t="s">
        <v>609</v>
      </c>
      <c r="D287" t="s">
        <v>210</v>
      </c>
      <c r="E287" t="s">
        <v>140</v>
      </c>
      <c r="F287">
        <v>2</v>
      </c>
      <c r="G287" s="3">
        <v>0.05</v>
      </c>
      <c r="H287" t="s">
        <v>53</v>
      </c>
      <c r="I287" t="s">
        <v>27</v>
      </c>
      <c r="J287" t="s">
        <v>21</v>
      </c>
    </row>
    <row r="288" spans="1:10" x14ac:dyDescent="0.45">
      <c r="A288" t="s">
        <v>610</v>
      </c>
      <c r="B288" s="2">
        <v>45770</v>
      </c>
      <c r="C288" t="s">
        <v>611</v>
      </c>
      <c r="D288" t="s">
        <v>135</v>
      </c>
      <c r="E288" t="s">
        <v>218</v>
      </c>
      <c r="F288">
        <v>6</v>
      </c>
      <c r="G288" s="3">
        <v>0.05</v>
      </c>
      <c r="H288" t="s">
        <v>14</v>
      </c>
      <c r="I288" t="s">
        <v>15</v>
      </c>
      <c r="J288" t="s">
        <v>36</v>
      </c>
    </row>
    <row r="289" spans="1:10" x14ac:dyDescent="0.45">
      <c r="A289" t="s">
        <v>612</v>
      </c>
      <c r="B289" s="2">
        <v>46140</v>
      </c>
      <c r="C289" t="s">
        <v>613</v>
      </c>
      <c r="D289" t="s">
        <v>614</v>
      </c>
      <c r="E289" t="s">
        <v>127</v>
      </c>
      <c r="F289">
        <v>10</v>
      </c>
      <c r="G289" s="3">
        <v>0.2</v>
      </c>
      <c r="H289" t="s">
        <v>14</v>
      </c>
      <c r="I289" t="s">
        <v>15</v>
      </c>
      <c r="J289" t="s">
        <v>21</v>
      </c>
    </row>
    <row r="290" spans="1:10" x14ac:dyDescent="0.45">
      <c r="A290" t="s">
        <v>615</v>
      </c>
      <c r="B290" s="2">
        <v>46054</v>
      </c>
      <c r="C290" t="s">
        <v>616</v>
      </c>
      <c r="D290" t="s">
        <v>75</v>
      </c>
      <c r="E290" t="s">
        <v>144</v>
      </c>
      <c r="F290">
        <v>6</v>
      </c>
      <c r="G290" s="3">
        <v>0.03</v>
      </c>
      <c r="H290" t="s">
        <v>14</v>
      </c>
      <c r="I290" t="s">
        <v>54</v>
      </c>
      <c r="J290" t="s">
        <v>21</v>
      </c>
    </row>
    <row r="291" spans="1:10" x14ac:dyDescent="0.45">
      <c r="A291" t="s">
        <v>617</v>
      </c>
      <c r="B291" s="2">
        <v>45788</v>
      </c>
      <c r="C291" t="s">
        <v>618</v>
      </c>
      <c r="D291" t="s">
        <v>430</v>
      </c>
      <c r="E291" t="s">
        <v>281</v>
      </c>
      <c r="F291">
        <v>1</v>
      </c>
      <c r="G291" s="3">
        <v>0</v>
      </c>
      <c r="H291" t="s">
        <v>14</v>
      </c>
      <c r="I291" t="s">
        <v>48</v>
      </c>
      <c r="J291" t="s">
        <v>36</v>
      </c>
    </row>
    <row r="292" spans="1:10" x14ac:dyDescent="0.45">
      <c r="A292" t="s">
        <v>619</v>
      </c>
      <c r="B292" s="2">
        <v>46009</v>
      </c>
      <c r="C292" t="s">
        <v>620</v>
      </c>
      <c r="D292" t="s">
        <v>230</v>
      </c>
      <c r="E292" t="s">
        <v>144</v>
      </c>
      <c r="F292">
        <v>4</v>
      </c>
      <c r="G292" s="3">
        <v>0.08</v>
      </c>
      <c r="H292" t="s">
        <v>53</v>
      </c>
      <c r="I292" t="s">
        <v>54</v>
      </c>
      <c r="J292" t="s">
        <v>21</v>
      </c>
    </row>
    <row r="293" spans="1:10" x14ac:dyDescent="0.45">
      <c r="A293" t="s">
        <v>621</v>
      </c>
      <c r="B293" s="2">
        <v>46079</v>
      </c>
      <c r="C293" t="s">
        <v>622</v>
      </c>
      <c r="D293" t="s">
        <v>151</v>
      </c>
      <c r="E293" t="s">
        <v>127</v>
      </c>
      <c r="F293">
        <v>9</v>
      </c>
      <c r="G293" s="3">
        <v>0.2</v>
      </c>
      <c r="H293" t="s">
        <v>53</v>
      </c>
      <c r="I293" t="s">
        <v>54</v>
      </c>
      <c r="J293" t="s">
        <v>21</v>
      </c>
    </row>
    <row r="294" spans="1:10" x14ac:dyDescent="0.45">
      <c r="A294" t="s">
        <v>623</v>
      </c>
      <c r="B294" s="2">
        <v>46096</v>
      </c>
      <c r="C294" t="s">
        <v>624</v>
      </c>
      <c r="D294" t="s">
        <v>205</v>
      </c>
      <c r="E294" t="s">
        <v>97</v>
      </c>
      <c r="F294">
        <v>12</v>
      </c>
      <c r="G294" s="3">
        <v>0.05</v>
      </c>
      <c r="H294" t="s">
        <v>14</v>
      </c>
      <c r="I294" t="s">
        <v>15</v>
      </c>
      <c r="J294" t="s">
        <v>21</v>
      </c>
    </row>
    <row r="295" spans="1:10" x14ac:dyDescent="0.45">
      <c r="A295" t="s">
        <v>625</v>
      </c>
      <c r="B295" s="2">
        <v>45663</v>
      </c>
      <c r="C295" t="s">
        <v>531</v>
      </c>
      <c r="D295" t="s">
        <v>246</v>
      </c>
      <c r="E295" t="s">
        <v>197</v>
      </c>
      <c r="F295">
        <v>7</v>
      </c>
      <c r="G295" s="3">
        <v>0</v>
      </c>
      <c r="H295" t="s">
        <v>14</v>
      </c>
      <c r="I295" t="s">
        <v>15</v>
      </c>
      <c r="J295" t="s">
        <v>59</v>
      </c>
    </row>
    <row r="296" spans="1:10" x14ac:dyDescent="0.45">
      <c r="A296" t="s">
        <v>626</v>
      </c>
      <c r="B296" s="2">
        <v>46201</v>
      </c>
      <c r="C296" t="s">
        <v>229</v>
      </c>
      <c r="D296" t="s">
        <v>51</v>
      </c>
      <c r="E296" t="s">
        <v>13</v>
      </c>
      <c r="F296">
        <v>7</v>
      </c>
      <c r="G296" s="3">
        <v>0.2</v>
      </c>
      <c r="H296" t="s">
        <v>53</v>
      </c>
      <c r="I296" t="s">
        <v>48</v>
      </c>
      <c r="J296" t="s">
        <v>21</v>
      </c>
    </row>
    <row r="297" spans="1:10" x14ac:dyDescent="0.45">
      <c r="A297" t="s">
        <v>627</v>
      </c>
      <c r="B297" s="2">
        <v>45670</v>
      </c>
      <c r="C297" t="s">
        <v>628</v>
      </c>
      <c r="D297" t="s">
        <v>241</v>
      </c>
      <c r="E297" t="s">
        <v>52</v>
      </c>
      <c r="F297">
        <v>12</v>
      </c>
      <c r="G297" s="3">
        <v>0.15</v>
      </c>
      <c r="H297" t="s">
        <v>26</v>
      </c>
      <c r="I297" t="s">
        <v>54</v>
      </c>
      <c r="J297" t="s">
        <v>21</v>
      </c>
    </row>
    <row r="298" spans="1:10" x14ac:dyDescent="0.45">
      <c r="A298" t="s">
        <v>629</v>
      </c>
      <c r="B298" s="2">
        <v>46149</v>
      </c>
      <c r="C298" t="s">
        <v>630</v>
      </c>
      <c r="D298" t="s">
        <v>46</v>
      </c>
      <c r="E298" t="s">
        <v>97</v>
      </c>
      <c r="F298">
        <v>11</v>
      </c>
      <c r="G298" s="3">
        <v>0.08</v>
      </c>
      <c r="H298" t="s">
        <v>14</v>
      </c>
      <c r="I298" t="s">
        <v>15</v>
      </c>
      <c r="J298" t="s">
        <v>36</v>
      </c>
    </row>
    <row r="299" spans="1:10" x14ac:dyDescent="0.45">
      <c r="A299" t="s">
        <v>631</v>
      </c>
      <c r="B299" s="2">
        <v>46123</v>
      </c>
      <c r="C299" t="s">
        <v>611</v>
      </c>
      <c r="D299" t="s">
        <v>78</v>
      </c>
      <c r="E299" t="s">
        <v>97</v>
      </c>
      <c r="F299">
        <v>8</v>
      </c>
      <c r="G299" s="3">
        <v>0.03</v>
      </c>
      <c r="H299" t="s">
        <v>53</v>
      </c>
      <c r="I299" t="s">
        <v>15</v>
      </c>
      <c r="J299" t="s">
        <v>21</v>
      </c>
    </row>
    <row r="300" spans="1:10" x14ac:dyDescent="0.45">
      <c r="A300" t="s">
        <v>632</v>
      </c>
      <c r="B300" s="2">
        <v>45659</v>
      </c>
      <c r="C300" t="s">
        <v>633</v>
      </c>
      <c r="D300" t="s">
        <v>449</v>
      </c>
      <c r="E300" t="s">
        <v>72</v>
      </c>
      <c r="F300">
        <v>11</v>
      </c>
      <c r="G300" s="3">
        <v>0</v>
      </c>
      <c r="H300" t="s">
        <v>14</v>
      </c>
      <c r="I300" t="s">
        <v>27</v>
      </c>
      <c r="J300" t="s">
        <v>21</v>
      </c>
    </row>
    <row r="301" spans="1:10" x14ac:dyDescent="0.45">
      <c r="A301" t="s">
        <v>634</v>
      </c>
      <c r="B301" s="2">
        <v>45934</v>
      </c>
      <c r="C301" t="s">
        <v>635</v>
      </c>
      <c r="D301" t="s">
        <v>295</v>
      </c>
      <c r="E301" t="s">
        <v>40</v>
      </c>
      <c r="F301">
        <v>12</v>
      </c>
      <c r="G301" s="3">
        <v>0.05</v>
      </c>
      <c r="H301" t="s">
        <v>53</v>
      </c>
      <c r="I301" t="s">
        <v>48</v>
      </c>
      <c r="J301" t="s">
        <v>21</v>
      </c>
    </row>
    <row r="302" spans="1:10" x14ac:dyDescent="0.45">
      <c r="A302" t="s">
        <v>636</v>
      </c>
      <c r="B302" s="2">
        <v>46030</v>
      </c>
      <c r="C302" t="s">
        <v>305</v>
      </c>
      <c r="D302" t="s">
        <v>221</v>
      </c>
      <c r="E302" t="s">
        <v>140</v>
      </c>
      <c r="F302">
        <v>1</v>
      </c>
      <c r="G302" s="3">
        <v>0</v>
      </c>
      <c r="H302" t="s">
        <v>14</v>
      </c>
      <c r="I302" t="s">
        <v>15</v>
      </c>
      <c r="J302" t="s">
        <v>21</v>
      </c>
    </row>
    <row r="303" spans="1:10" x14ac:dyDescent="0.45">
      <c r="A303" t="s">
        <v>637</v>
      </c>
      <c r="B303" s="2">
        <v>45726</v>
      </c>
      <c r="C303" t="s">
        <v>638</v>
      </c>
      <c r="D303" t="s">
        <v>202</v>
      </c>
      <c r="E303" t="s">
        <v>144</v>
      </c>
      <c r="F303">
        <v>9</v>
      </c>
      <c r="G303" s="3">
        <v>0.05</v>
      </c>
      <c r="H303" t="s">
        <v>14</v>
      </c>
      <c r="I303" t="s">
        <v>27</v>
      </c>
      <c r="J303" t="s">
        <v>21</v>
      </c>
    </row>
    <row r="304" spans="1:10" x14ac:dyDescent="0.45">
      <c r="A304" t="s">
        <v>639</v>
      </c>
      <c r="B304" s="2">
        <v>45872</v>
      </c>
      <c r="C304" t="s">
        <v>478</v>
      </c>
      <c r="D304" t="s">
        <v>238</v>
      </c>
      <c r="E304" t="s">
        <v>111</v>
      </c>
      <c r="F304">
        <v>12</v>
      </c>
      <c r="G304" s="3">
        <v>0.05</v>
      </c>
      <c r="H304" t="s">
        <v>14</v>
      </c>
      <c r="I304" t="s">
        <v>27</v>
      </c>
      <c r="J304" t="s">
        <v>21</v>
      </c>
    </row>
    <row r="305" spans="1:10" x14ac:dyDescent="0.45">
      <c r="A305" t="s">
        <v>640</v>
      </c>
      <c r="B305" s="2">
        <v>45722</v>
      </c>
      <c r="C305" t="s">
        <v>641</v>
      </c>
      <c r="D305" t="s">
        <v>205</v>
      </c>
      <c r="E305" t="s">
        <v>35</v>
      </c>
      <c r="F305">
        <v>6</v>
      </c>
      <c r="G305" s="3">
        <v>0.1</v>
      </c>
      <c r="H305" t="s">
        <v>14</v>
      </c>
      <c r="I305" t="s">
        <v>48</v>
      </c>
      <c r="J305" t="s">
        <v>21</v>
      </c>
    </row>
    <row r="306" spans="1:10" x14ac:dyDescent="0.45">
      <c r="A306" t="s">
        <v>642</v>
      </c>
      <c r="B306" s="2">
        <v>46120</v>
      </c>
      <c r="C306" t="s">
        <v>232</v>
      </c>
      <c r="D306" t="s">
        <v>272</v>
      </c>
      <c r="E306" t="s">
        <v>101</v>
      </c>
      <c r="F306">
        <v>10</v>
      </c>
      <c r="G306" s="3">
        <v>0.1</v>
      </c>
      <c r="H306" t="s">
        <v>53</v>
      </c>
      <c r="I306" t="s">
        <v>48</v>
      </c>
      <c r="J306" t="s">
        <v>21</v>
      </c>
    </row>
    <row r="307" spans="1:10" x14ac:dyDescent="0.45">
      <c r="A307" t="s">
        <v>643</v>
      </c>
      <c r="B307" s="2">
        <v>46058</v>
      </c>
      <c r="C307" t="s">
        <v>620</v>
      </c>
      <c r="D307" t="s">
        <v>46</v>
      </c>
      <c r="E307" t="s">
        <v>127</v>
      </c>
      <c r="F307">
        <v>3</v>
      </c>
      <c r="G307" s="3">
        <v>0.08</v>
      </c>
      <c r="H307" t="s">
        <v>26</v>
      </c>
      <c r="I307" t="s">
        <v>48</v>
      </c>
      <c r="J307" t="s">
        <v>21</v>
      </c>
    </row>
    <row r="308" spans="1:10" x14ac:dyDescent="0.45">
      <c r="A308" t="s">
        <v>644</v>
      </c>
      <c r="B308" s="2">
        <v>45809</v>
      </c>
      <c r="C308" t="s">
        <v>645</v>
      </c>
      <c r="D308" t="s">
        <v>646</v>
      </c>
      <c r="E308" t="s">
        <v>72</v>
      </c>
      <c r="F308">
        <v>8</v>
      </c>
      <c r="G308" s="3">
        <v>0.03</v>
      </c>
      <c r="H308" t="s">
        <v>53</v>
      </c>
      <c r="I308" t="s">
        <v>48</v>
      </c>
      <c r="J308" t="s">
        <v>21</v>
      </c>
    </row>
    <row r="309" spans="1:10" x14ac:dyDescent="0.45">
      <c r="A309" t="s">
        <v>647</v>
      </c>
      <c r="B309" s="2">
        <v>46143</v>
      </c>
      <c r="C309" t="s">
        <v>134</v>
      </c>
      <c r="D309" t="s">
        <v>164</v>
      </c>
      <c r="E309" t="s">
        <v>225</v>
      </c>
      <c r="F309">
        <v>6</v>
      </c>
      <c r="G309" s="3">
        <v>0.15</v>
      </c>
      <c r="H309" t="s">
        <v>14</v>
      </c>
      <c r="I309" t="s">
        <v>48</v>
      </c>
      <c r="J309" t="s">
        <v>21</v>
      </c>
    </row>
    <row r="310" spans="1:10" x14ac:dyDescent="0.45">
      <c r="A310" t="s">
        <v>648</v>
      </c>
      <c r="B310" s="2">
        <v>46190</v>
      </c>
      <c r="C310" t="s">
        <v>23</v>
      </c>
      <c r="D310" t="s">
        <v>217</v>
      </c>
      <c r="E310" t="s">
        <v>218</v>
      </c>
      <c r="F310">
        <v>11</v>
      </c>
      <c r="G310" s="3">
        <v>0.1</v>
      </c>
      <c r="H310" t="s">
        <v>14</v>
      </c>
      <c r="I310" t="s">
        <v>27</v>
      </c>
      <c r="J310" t="s">
        <v>21</v>
      </c>
    </row>
    <row r="311" spans="1:10" x14ac:dyDescent="0.45">
      <c r="A311" t="s">
        <v>649</v>
      </c>
      <c r="B311" s="2">
        <v>46200</v>
      </c>
      <c r="C311" t="s">
        <v>99</v>
      </c>
      <c r="D311" t="s">
        <v>135</v>
      </c>
      <c r="E311" t="s">
        <v>47</v>
      </c>
      <c r="F311">
        <v>9</v>
      </c>
      <c r="G311" s="3">
        <v>0.2</v>
      </c>
      <c r="H311" t="s">
        <v>14</v>
      </c>
      <c r="I311" t="s">
        <v>54</v>
      </c>
      <c r="J311" t="s">
        <v>36</v>
      </c>
    </row>
    <row r="312" spans="1:10" x14ac:dyDescent="0.45">
      <c r="A312" t="s">
        <v>650</v>
      </c>
      <c r="B312" s="2">
        <v>45890</v>
      </c>
      <c r="C312" t="s">
        <v>651</v>
      </c>
      <c r="D312" t="s">
        <v>179</v>
      </c>
      <c r="E312" t="s">
        <v>152</v>
      </c>
      <c r="F312">
        <v>8</v>
      </c>
      <c r="G312" s="3">
        <v>0.1</v>
      </c>
      <c r="H312" t="s">
        <v>26</v>
      </c>
      <c r="I312" t="s">
        <v>48</v>
      </c>
      <c r="J312" t="s">
        <v>21</v>
      </c>
    </row>
    <row r="313" spans="1:10" x14ac:dyDescent="0.45">
      <c r="A313" t="s">
        <v>652</v>
      </c>
      <c r="B313" s="2">
        <v>45822</v>
      </c>
      <c r="C313" t="s">
        <v>653</v>
      </c>
      <c r="D313" t="s">
        <v>75</v>
      </c>
      <c r="E313" t="s">
        <v>144</v>
      </c>
      <c r="F313">
        <v>12</v>
      </c>
      <c r="G313" s="3">
        <v>0.08</v>
      </c>
      <c r="H313" t="s">
        <v>14</v>
      </c>
      <c r="I313" t="s">
        <v>54</v>
      </c>
      <c r="J313" t="s">
        <v>16</v>
      </c>
    </row>
    <row r="314" spans="1:10" x14ac:dyDescent="0.45">
      <c r="A314" t="s">
        <v>654</v>
      </c>
      <c r="B314" s="2">
        <v>45901</v>
      </c>
      <c r="C314" t="s">
        <v>453</v>
      </c>
      <c r="D314" t="s">
        <v>246</v>
      </c>
      <c r="E314" t="s">
        <v>144</v>
      </c>
      <c r="F314">
        <v>2</v>
      </c>
      <c r="G314" s="3">
        <v>0</v>
      </c>
      <c r="H314" t="s">
        <v>26</v>
      </c>
      <c r="I314" t="s">
        <v>54</v>
      </c>
      <c r="J314" t="s">
        <v>21</v>
      </c>
    </row>
    <row r="315" spans="1:10" x14ac:dyDescent="0.45">
      <c r="A315" t="s">
        <v>655</v>
      </c>
      <c r="B315" s="2">
        <v>45693</v>
      </c>
      <c r="C315" t="s">
        <v>633</v>
      </c>
      <c r="D315" t="s">
        <v>439</v>
      </c>
      <c r="E315" t="s">
        <v>115</v>
      </c>
      <c r="F315">
        <v>11</v>
      </c>
      <c r="G315" s="3">
        <v>0.1</v>
      </c>
      <c r="H315" t="s">
        <v>26</v>
      </c>
      <c r="I315" t="s">
        <v>54</v>
      </c>
      <c r="J315" t="s">
        <v>21</v>
      </c>
    </row>
    <row r="316" spans="1:10" x14ac:dyDescent="0.45">
      <c r="A316" t="s">
        <v>656</v>
      </c>
      <c r="B316" s="2">
        <v>45966</v>
      </c>
      <c r="C316" t="s">
        <v>289</v>
      </c>
      <c r="D316" t="s">
        <v>100</v>
      </c>
      <c r="E316" t="s">
        <v>52</v>
      </c>
      <c r="F316">
        <v>2</v>
      </c>
      <c r="G316" s="3">
        <v>0</v>
      </c>
      <c r="H316" t="s">
        <v>14</v>
      </c>
      <c r="I316" t="s">
        <v>15</v>
      </c>
      <c r="J316" t="s">
        <v>59</v>
      </c>
    </row>
    <row r="317" spans="1:10" x14ac:dyDescent="0.45">
      <c r="A317" t="s">
        <v>657</v>
      </c>
      <c r="B317" s="2">
        <v>45662</v>
      </c>
      <c r="C317" t="s">
        <v>620</v>
      </c>
      <c r="D317" t="s">
        <v>88</v>
      </c>
      <c r="E317" t="s">
        <v>225</v>
      </c>
      <c r="F317">
        <v>12</v>
      </c>
      <c r="G317" s="3">
        <v>0.1</v>
      </c>
      <c r="H317" t="s">
        <v>53</v>
      </c>
      <c r="I317" t="s">
        <v>27</v>
      </c>
      <c r="J317" t="s">
        <v>21</v>
      </c>
    </row>
    <row r="318" spans="1:10" x14ac:dyDescent="0.45">
      <c r="A318" t="s">
        <v>658</v>
      </c>
      <c r="B318" s="2">
        <v>45808</v>
      </c>
      <c r="C318" t="s">
        <v>659</v>
      </c>
      <c r="D318" t="s">
        <v>94</v>
      </c>
      <c r="E318" t="s">
        <v>20</v>
      </c>
      <c r="F318">
        <v>10</v>
      </c>
      <c r="G318" s="3">
        <v>0.2</v>
      </c>
      <c r="H318" t="s">
        <v>14</v>
      </c>
      <c r="I318" t="s">
        <v>48</v>
      </c>
      <c r="J318" t="s">
        <v>59</v>
      </c>
    </row>
    <row r="319" spans="1:10" x14ac:dyDescent="0.45">
      <c r="A319" t="s">
        <v>660</v>
      </c>
      <c r="B319" s="2">
        <v>45777</v>
      </c>
      <c r="C319" t="s">
        <v>661</v>
      </c>
      <c r="D319" t="s">
        <v>182</v>
      </c>
      <c r="E319" t="s">
        <v>20</v>
      </c>
      <c r="F319">
        <v>5</v>
      </c>
      <c r="G319" s="3">
        <v>0</v>
      </c>
      <c r="H319" t="s">
        <v>14</v>
      </c>
      <c r="I319" t="s">
        <v>54</v>
      </c>
      <c r="J319" t="s">
        <v>21</v>
      </c>
    </row>
    <row r="320" spans="1:10" x14ac:dyDescent="0.45">
      <c r="A320" t="s">
        <v>662</v>
      </c>
      <c r="B320" s="2">
        <v>45857</v>
      </c>
      <c r="C320" t="s">
        <v>663</v>
      </c>
      <c r="D320" t="s">
        <v>135</v>
      </c>
      <c r="E320" t="s">
        <v>35</v>
      </c>
      <c r="F320">
        <v>10</v>
      </c>
      <c r="G320" s="3">
        <v>0.05</v>
      </c>
      <c r="H320" t="s">
        <v>53</v>
      </c>
      <c r="I320" t="s">
        <v>27</v>
      </c>
      <c r="J320" t="s">
        <v>21</v>
      </c>
    </row>
    <row r="321" spans="1:10" x14ac:dyDescent="0.45">
      <c r="A321" t="s">
        <v>664</v>
      </c>
      <c r="B321" s="2">
        <v>45747</v>
      </c>
      <c r="C321" t="s">
        <v>142</v>
      </c>
      <c r="D321" t="s">
        <v>272</v>
      </c>
      <c r="E321" t="s">
        <v>85</v>
      </c>
      <c r="F321">
        <v>9</v>
      </c>
      <c r="G321" s="3">
        <v>0.15</v>
      </c>
      <c r="H321" t="s">
        <v>14</v>
      </c>
      <c r="I321" t="s">
        <v>27</v>
      </c>
      <c r="J321" t="s">
        <v>21</v>
      </c>
    </row>
    <row r="322" spans="1:10" x14ac:dyDescent="0.45">
      <c r="A322" t="s">
        <v>665</v>
      </c>
      <c r="B322" s="2">
        <v>46027</v>
      </c>
      <c r="C322" t="s">
        <v>666</v>
      </c>
      <c r="D322" t="s">
        <v>221</v>
      </c>
      <c r="E322" t="s">
        <v>20</v>
      </c>
      <c r="F322">
        <v>7</v>
      </c>
      <c r="G322" s="3">
        <v>0.03</v>
      </c>
      <c r="H322" t="s">
        <v>53</v>
      </c>
      <c r="I322" t="s">
        <v>15</v>
      </c>
      <c r="J322" t="s">
        <v>21</v>
      </c>
    </row>
    <row r="323" spans="1:10" x14ac:dyDescent="0.45">
      <c r="A323" t="s">
        <v>667</v>
      </c>
      <c r="B323" s="2">
        <v>46011</v>
      </c>
      <c r="C323" t="s">
        <v>668</v>
      </c>
      <c r="D323" t="s">
        <v>110</v>
      </c>
      <c r="E323" t="s">
        <v>101</v>
      </c>
      <c r="F323">
        <v>6</v>
      </c>
      <c r="G323" s="3">
        <v>0.08</v>
      </c>
      <c r="H323" t="s">
        <v>26</v>
      </c>
      <c r="I323" t="s">
        <v>48</v>
      </c>
      <c r="J323" t="s">
        <v>21</v>
      </c>
    </row>
    <row r="324" spans="1:10" x14ac:dyDescent="0.45">
      <c r="A324" t="s">
        <v>669</v>
      </c>
      <c r="B324" s="2">
        <v>45953</v>
      </c>
      <c r="C324" t="s">
        <v>670</v>
      </c>
      <c r="D324" t="s">
        <v>230</v>
      </c>
      <c r="E324" t="s">
        <v>85</v>
      </c>
      <c r="F324">
        <v>3</v>
      </c>
      <c r="G324" s="3">
        <v>0.15</v>
      </c>
      <c r="H324" t="s">
        <v>53</v>
      </c>
      <c r="I324" t="s">
        <v>15</v>
      </c>
      <c r="J324" t="s">
        <v>21</v>
      </c>
    </row>
    <row r="325" spans="1:10" x14ac:dyDescent="0.45">
      <c r="A325" t="s">
        <v>671</v>
      </c>
      <c r="B325" s="2">
        <v>45805</v>
      </c>
      <c r="C325" t="s">
        <v>672</v>
      </c>
      <c r="D325" t="s">
        <v>81</v>
      </c>
      <c r="E325" t="s">
        <v>127</v>
      </c>
      <c r="F325">
        <v>4</v>
      </c>
      <c r="G325" s="3">
        <v>0.08</v>
      </c>
      <c r="H325" t="s">
        <v>14</v>
      </c>
      <c r="I325" t="s">
        <v>27</v>
      </c>
      <c r="J325" t="s">
        <v>21</v>
      </c>
    </row>
    <row r="326" spans="1:10" x14ac:dyDescent="0.45">
      <c r="A326" t="s">
        <v>673</v>
      </c>
      <c r="B326" s="2">
        <v>45664</v>
      </c>
      <c r="C326" t="s">
        <v>531</v>
      </c>
      <c r="D326" t="s">
        <v>161</v>
      </c>
      <c r="E326" t="s">
        <v>127</v>
      </c>
      <c r="F326">
        <v>7</v>
      </c>
      <c r="G326" s="3">
        <v>0.08</v>
      </c>
      <c r="H326" t="s">
        <v>14</v>
      </c>
      <c r="I326" t="s">
        <v>15</v>
      </c>
      <c r="J326" t="s">
        <v>59</v>
      </c>
    </row>
    <row r="327" spans="1:10" x14ac:dyDescent="0.45">
      <c r="A327" t="s">
        <v>674</v>
      </c>
      <c r="B327" s="2">
        <v>45848</v>
      </c>
      <c r="C327" t="s">
        <v>675</v>
      </c>
      <c r="D327" t="s">
        <v>182</v>
      </c>
      <c r="E327" t="s">
        <v>115</v>
      </c>
      <c r="F327">
        <v>7</v>
      </c>
      <c r="G327" s="3">
        <v>0.08</v>
      </c>
      <c r="H327" t="s">
        <v>14</v>
      </c>
      <c r="I327" t="s">
        <v>48</v>
      </c>
      <c r="J327" t="s">
        <v>16</v>
      </c>
    </row>
    <row r="328" spans="1:10" x14ac:dyDescent="0.45">
      <c r="A328" t="s">
        <v>676</v>
      </c>
      <c r="B328" s="2">
        <v>46163</v>
      </c>
      <c r="C328" t="s">
        <v>677</v>
      </c>
      <c r="D328" t="s">
        <v>78</v>
      </c>
      <c r="E328" t="s">
        <v>101</v>
      </c>
      <c r="F328">
        <v>9</v>
      </c>
      <c r="G328" s="3">
        <v>0.2</v>
      </c>
      <c r="H328" t="s">
        <v>14</v>
      </c>
      <c r="I328" t="s">
        <v>48</v>
      </c>
      <c r="J328" t="s">
        <v>21</v>
      </c>
    </row>
    <row r="329" spans="1:10" x14ac:dyDescent="0.45">
      <c r="A329" t="s">
        <v>678</v>
      </c>
      <c r="B329" s="2">
        <v>45952</v>
      </c>
      <c r="C329" t="s">
        <v>679</v>
      </c>
      <c r="D329" t="s">
        <v>280</v>
      </c>
      <c r="E329" t="s">
        <v>31</v>
      </c>
      <c r="F329">
        <v>7</v>
      </c>
      <c r="G329" s="3">
        <v>0.03</v>
      </c>
      <c r="H329" t="s">
        <v>14</v>
      </c>
      <c r="I329" t="s">
        <v>54</v>
      </c>
      <c r="J329" t="s">
        <v>21</v>
      </c>
    </row>
    <row r="330" spans="1:10" x14ac:dyDescent="0.45">
      <c r="A330" t="s">
        <v>680</v>
      </c>
      <c r="B330" s="2">
        <v>45726</v>
      </c>
      <c r="C330" t="s">
        <v>286</v>
      </c>
      <c r="D330" t="s">
        <v>205</v>
      </c>
      <c r="E330" t="s">
        <v>47</v>
      </c>
      <c r="F330">
        <v>10</v>
      </c>
      <c r="G330" s="3">
        <v>0.1</v>
      </c>
      <c r="H330" t="s">
        <v>14</v>
      </c>
      <c r="I330" t="s">
        <v>15</v>
      </c>
      <c r="J330" t="s">
        <v>36</v>
      </c>
    </row>
    <row r="331" spans="1:10" x14ac:dyDescent="0.45">
      <c r="A331" t="s">
        <v>681</v>
      </c>
      <c r="B331" s="2">
        <v>45780</v>
      </c>
      <c r="C331" t="s">
        <v>682</v>
      </c>
      <c r="D331" t="s">
        <v>280</v>
      </c>
      <c r="E331" t="s">
        <v>72</v>
      </c>
      <c r="F331">
        <v>6</v>
      </c>
      <c r="G331" s="3">
        <v>0</v>
      </c>
      <c r="H331" t="s">
        <v>53</v>
      </c>
      <c r="I331" t="s">
        <v>54</v>
      </c>
      <c r="J331" t="s">
        <v>21</v>
      </c>
    </row>
    <row r="332" spans="1:10" x14ac:dyDescent="0.45">
      <c r="A332" t="s">
        <v>683</v>
      </c>
      <c r="B332" s="2">
        <v>45796</v>
      </c>
      <c r="C332" t="s">
        <v>684</v>
      </c>
      <c r="D332" t="s">
        <v>88</v>
      </c>
      <c r="E332" t="s">
        <v>85</v>
      </c>
      <c r="F332">
        <v>6</v>
      </c>
      <c r="G332" s="3">
        <v>0.03</v>
      </c>
      <c r="H332" t="s">
        <v>14</v>
      </c>
      <c r="I332" t="s">
        <v>27</v>
      </c>
      <c r="J332" t="s">
        <v>21</v>
      </c>
    </row>
    <row r="333" spans="1:10" x14ac:dyDescent="0.45">
      <c r="A333" t="s">
        <v>685</v>
      </c>
      <c r="B333" s="2">
        <v>45956</v>
      </c>
      <c r="C333" t="s">
        <v>175</v>
      </c>
      <c r="D333" t="s">
        <v>529</v>
      </c>
      <c r="E333" t="s">
        <v>101</v>
      </c>
      <c r="F333">
        <v>9</v>
      </c>
      <c r="G333" s="3">
        <v>0</v>
      </c>
      <c r="H333" t="s">
        <v>14</v>
      </c>
      <c r="I333" t="s">
        <v>54</v>
      </c>
      <c r="J333" t="s">
        <v>59</v>
      </c>
    </row>
    <row r="334" spans="1:10" x14ac:dyDescent="0.45">
      <c r="A334" t="s">
        <v>686</v>
      </c>
      <c r="B334" s="2">
        <v>45988</v>
      </c>
      <c r="C334" t="s">
        <v>687</v>
      </c>
      <c r="D334" t="s">
        <v>179</v>
      </c>
      <c r="E334" t="s">
        <v>52</v>
      </c>
      <c r="F334">
        <v>6</v>
      </c>
      <c r="G334" s="3">
        <v>0.08</v>
      </c>
      <c r="H334" t="s">
        <v>14</v>
      </c>
      <c r="I334" t="s">
        <v>27</v>
      </c>
      <c r="J334" t="s">
        <v>21</v>
      </c>
    </row>
    <row r="335" spans="1:10" x14ac:dyDescent="0.45">
      <c r="A335" t="s">
        <v>688</v>
      </c>
      <c r="B335" s="2">
        <v>45671</v>
      </c>
      <c r="C335" t="s">
        <v>689</v>
      </c>
      <c r="D335" t="s">
        <v>158</v>
      </c>
      <c r="E335" t="s">
        <v>225</v>
      </c>
      <c r="F335">
        <v>3</v>
      </c>
      <c r="G335" s="3">
        <v>0.08</v>
      </c>
      <c r="H335" t="s">
        <v>14</v>
      </c>
      <c r="I335" t="s">
        <v>15</v>
      </c>
      <c r="J335" t="s">
        <v>21</v>
      </c>
    </row>
    <row r="336" spans="1:10" x14ac:dyDescent="0.45">
      <c r="A336" t="s">
        <v>690</v>
      </c>
      <c r="B336" s="2">
        <v>45816</v>
      </c>
      <c r="C336" t="s">
        <v>691</v>
      </c>
      <c r="D336" t="s">
        <v>12</v>
      </c>
      <c r="E336" t="s">
        <v>115</v>
      </c>
      <c r="F336">
        <v>9</v>
      </c>
      <c r="G336" s="3">
        <v>0.05</v>
      </c>
      <c r="H336" t="s">
        <v>53</v>
      </c>
      <c r="I336" t="s">
        <v>48</v>
      </c>
      <c r="J336" t="s">
        <v>21</v>
      </c>
    </row>
    <row r="337" spans="1:10" x14ac:dyDescent="0.45">
      <c r="A337" t="s">
        <v>692</v>
      </c>
      <c r="B337" s="2">
        <v>45675</v>
      </c>
      <c r="C337" t="s">
        <v>551</v>
      </c>
      <c r="D337" t="s">
        <v>646</v>
      </c>
      <c r="E337" t="s">
        <v>225</v>
      </c>
      <c r="F337">
        <v>8</v>
      </c>
      <c r="G337" s="3">
        <v>0.1</v>
      </c>
      <c r="H337" t="s">
        <v>14</v>
      </c>
      <c r="I337" t="s">
        <v>27</v>
      </c>
      <c r="J337" t="s">
        <v>21</v>
      </c>
    </row>
    <row r="338" spans="1:10" x14ac:dyDescent="0.45">
      <c r="A338" t="s">
        <v>693</v>
      </c>
      <c r="B338" s="2">
        <v>46008</v>
      </c>
      <c r="C338" t="s">
        <v>694</v>
      </c>
      <c r="D338" t="s">
        <v>81</v>
      </c>
      <c r="E338" t="s">
        <v>140</v>
      </c>
      <c r="F338">
        <v>3</v>
      </c>
      <c r="G338" s="3">
        <v>0.08</v>
      </c>
      <c r="H338" t="s">
        <v>14</v>
      </c>
      <c r="I338" t="s">
        <v>48</v>
      </c>
      <c r="J338" t="s">
        <v>21</v>
      </c>
    </row>
    <row r="339" spans="1:10" x14ac:dyDescent="0.45">
      <c r="A339" t="s">
        <v>695</v>
      </c>
      <c r="B339" s="2">
        <v>45890</v>
      </c>
      <c r="C339" t="s">
        <v>696</v>
      </c>
      <c r="D339" t="s">
        <v>167</v>
      </c>
      <c r="E339" t="s">
        <v>72</v>
      </c>
      <c r="F339">
        <v>5</v>
      </c>
      <c r="G339" s="3">
        <v>0.03</v>
      </c>
      <c r="H339" t="s">
        <v>14</v>
      </c>
      <c r="I339" t="s">
        <v>48</v>
      </c>
      <c r="J339" t="s">
        <v>21</v>
      </c>
    </row>
    <row r="340" spans="1:10" x14ac:dyDescent="0.45">
      <c r="A340" t="s">
        <v>697</v>
      </c>
      <c r="B340" s="2">
        <v>45677</v>
      </c>
      <c r="C340" t="s">
        <v>698</v>
      </c>
      <c r="D340" t="s">
        <v>646</v>
      </c>
      <c r="E340" t="s">
        <v>127</v>
      </c>
      <c r="F340">
        <v>8</v>
      </c>
      <c r="G340" s="3">
        <v>0.15</v>
      </c>
      <c r="H340" t="s">
        <v>14</v>
      </c>
      <c r="I340" t="s">
        <v>48</v>
      </c>
      <c r="J340" t="s">
        <v>21</v>
      </c>
    </row>
    <row r="341" spans="1:10" x14ac:dyDescent="0.45">
      <c r="A341" t="s">
        <v>699</v>
      </c>
      <c r="B341" s="2">
        <v>45718</v>
      </c>
      <c r="C341" t="s">
        <v>418</v>
      </c>
      <c r="D341" t="s">
        <v>118</v>
      </c>
      <c r="E341" t="s">
        <v>197</v>
      </c>
      <c r="F341">
        <v>8</v>
      </c>
      <c r="G341" s="3">
        <v>0</v>
      </c>
      <c r="H341" t="s">
        <v>26</v>
      </c>
      <c r="I341" t="s">
        <v>48</v>
      </c>
      <c r="J341" t="s">
        <v>21</v>
      </c>
    </row>
    <row r="342" spans="1:10" x14ac:dyDescent="0.45">
      <c r="A342" t="s">
        <v>700</v>
      </c>
      <c r="B342" s="2">
        <v>45756</v>
      </c>
      <c r="C342" t="s">
        <v>701</v>
      </c>
      <c r="D342" t="s">
        <v>110</v>
      </c>
      <c r="E342" t="s">
        <v>40</v>
      </c>
      <c r="F342">
        <v>2</v>
      </c>
      <c r="G342" s="3">
        <v>0.05</v>
      </c>
      <c r="H342" t="s">
        <v>14</v>
      </c>
      <c r="I342" t="s">
        <v>54</v>
      </c>
      <c r="J342" t="s">
        <v>21</v>
      </c>
    </row>
    <row r="343" spans="1:10" x14ac:dyDescent="0.45">
      <c r="A343" t="s">
        <v>702</v>
      </c>
      <c r="B343" s="2">
        <v>45807</v>
      </c>
      <c r="C343" t="s">
        <v>514</v>
      </c>
      <c r="D343" t="s">
        <v>19</v>
      </c>
      <c r="E343" t="s">
        <v>127</v>
      </c>
      <c r="F343">
        <v>12</v>
      </c>
      <c r="G343" s="3">
        <v>0.08</v>
      </c>
      <c r="H343" t="s">
        <v>26</v>
      </c>
      <c r="I343" t="s">
        <v>27</v>
      </c>
      <c r="J343" t="s">
        <v>21</v>
      </c>
    </row>
    <row r="344" spans="1:10" x14ac:dyDescent="0.45">
      <c r="A344" t="s">
        <v>703</v>
      </c>
      <c r="B344" s="2">
        <v>46175</v>
      </c>
      <c r="C344" t="s">
        <v>704</v>
      </c>
      <c r="D344" t="s">
        <v>34</v>
      </c>
      <c r="E344" t="s">
        <v>218</v>
      </c>
      <c r="F344">
        <v>10</v>
      </c>
      <c r="G344" s="3">
        <v>0</v>
      </c>
      <c r="H344" t="s">
        <v>14</v>
      </c>
      <c r="I344" t="s">
        <v>48</v>
      </c>
      <c r="J344" t="s">
        <v>21</v>
      </c>
    </row>
    <row r="345" spans="1:10" x14ac:dyDescent="0.45">
      <c r="A345" t="s">
        <v>705</v>
      </c>
      <c r="B345" s="2">
        <v>45833</v>
      </c>
      <c r="C345" t="s">
        <v>706</v>
      </c>
      <c r="D345" t="s">
        <v>71</v>
      </c>
      <c r="E345" t="s">
        <v>101</v>
      </c>
      <c r="F345">
        <v>9</v>
      </c>
      <c r="G345" s="3">
        <v>0</v>
      </c>
      <c r="H345" t="s">
        <v>26</v>
      </c>
      <c r="I345" t="s">
        <v>48</v>
      </c>
      <c r="J345" t="s">
        <v>36</v>
      </c>
    </row>
    <row r="346" spans="1:10" x14ac:dyDescent="0.45">
      <c r="A346" t="s">
        <v>707</v>
      </c>
      <c r="B346" s="2">
        <v>45847</v>
      </c>
      <c r="C346" t="s">
        <v>229</v>
      </c>
      <c r="D346" t="s">
        <v>280</v>
      </c>
      <c r="E346" t="s">
        <v>58</v>
      </c>
      <c r="F346">
        <v>8</v>
      </c>
      <c r="G346" s="3">
        <v>0</v>
      </c>
      <c r="H346" t="s">
        <v>14</v>
      </c>
      <c r="I346" t="s">
        <v>27</v>
      </c>
      <c r="J346" t="s">
        <v>107</v>
      </c>
    </row>
    <row r="347" spans="1:10" x14ac:dyDescent="0.45">
      <c r="A347" t="s">
        <v>708</v>
      </c>
      <c r="B347" s="2">
        <v>45891</v>
      </c>
      <c r="C347" t="s">
        <v>146</v>
      </c>
      <c r="D347" t="s">
        <v>130</v>
      </c>
      <c r="E347" t="s">
        <v>140</v>
      </c>
      <c r="F347">
        <v>7</v>
      </c>
      <c r="G347" s="3">
        <v>0</v>
      </c>
      <c r="H347" t="s">
        <v>53</v>
      </c>
      <c r="I347" t="s">
        <v>27</v>
      </c>
      <c r="J347" t="s">
        <v>21</v>
      </c>
    </row>
    <row r="348" spans="1:10" x14ac:dyDescent="0.45">
      <c r="A348" t="s">
        <v>709</v>
      </c>
      <c r="B348" s="2">
        <v>46165</v>
      </c>
      <c r="C348" t="s">
        <v>710</v>
      </c>
      <c r="D348" t="s">
        <v>126</v>
      </c>
      <c r="E348" t="s">
        <v>225</v>
      </c>
      <c r="F348">
        <v>6</v>
      </c>
      <c r="G348" s="3">
        <v>0.08</v>
      </c>
      <c r="H348" t="s">
        <v>14</v>
      </c>
      <c r="I348" t="s">
        <v>48</v>
      </c>
      <c r="J348" t="s">
        <v>21</v>
      </c>
    </row>
    <row r="349" spans="1:10" x14ac:dyDescent="0.45">
      <c r="A349" t="s">
        <v>711</v>
      </c>
      <c r="B349" s="2">
        <v>45948</v>
      </c>
      <c r="C349" t="s">
        <v>712</v>
      </c>
      <c r="D349" t="s">
        <v>646</v>
      </c>
      <c r="E349" t="s">
        <v>136</v>
      </c>
      <c r="F349">
        <v>8</v>
      </c>
      <c r="G349" s="3">
        <v>0.08</v>
      </c>
      <c r="H349" t="s">
        <v>53</v>
      </c>
      <c r="I349" t="s">
        <v>15</v>
      </c>
      <c r="J349" t="s">
        <v>21</v>
      </c>
    </row>
    <row r="350" spans="1:10" x14ac:dyDescent="0.45">
      <c r="A350" t="s">
        <v>713</v>
      </c>
      <c r="B350" s="2">
        <v>45851</v>
      </c>
      <c r="C350" t="s">
        <v>714</v>
      </c>
      <c r="D350" t="s">
        <v>65</v>
      </c>
      <c r="E350" t="s">
        <v>13</v>
      </c>
      <c r="F350">
        <v>2</v>
      </c>
      <c r="G350" s="3">
        <v>0.2</v>
      </c>
      <c r="H350" t="s">
        <v>26</v>
      </c>
      <c r="I350" t="s">
        <v>27</v>
      </c>
      <c r="J350" t="s">
        <v>21</v>
      </c>
    </row>
    <row r="351" spans="1:10" x14ac:dyDescent="0.45">
      <c r="A351" t="s">
        <v>715</v>
      </c>
      <c r="B351" s="2">
        <v>45765</v>
      </c>
      <c r="C351" t="s">
        <v>716</v>
      </c>
      <c r="D351" t="s">
        <v>210</v>
      </c>
      <c r="E351" t="s">
        <v>20</v>
      </c>
      <c r="F351">
        <v>7</v>
      </c>
      <c r="G351" s="3">
        <v>0.2</v>
      </c>
      <c r="H351" t="s">
        <v>14</v>
      </c>
      <c r="I351" t="s">
        <v>48</v>
      </c>
      <c r="J351" t="s">
        <v>21</v>
      </c>
    </row>
    <row r="352" spans="1:10" x14ac:dyDescent="0.45">
      <c r="A352" t="s">
        <v>717</v>
      </c>
      <c r="B352" s="2">
        <v>45762</v>
      </c>
      <c r="C352" t="s">
        <v>718</v>
      </c>
      <c r="D352" t="s">
        <v>380</v>
      </c>
      <c r="E352" t="s">
        <v>72</v>
      </c>
      <c r="F352">
        <v>12</v>
      </c>
      <c r="G352" s="3">
        <v>0.03</v>
      </c>
      <c r="H352" t="s">
        <v>14</v>
      </c>
      <c r="I352" t="s">
        <v>54</v>
      </c>
      <c r="J352" t="s">
        <v>21</v>
      </c>
    </row>
    <row r="353" spans="1:10" x14ac:dyDescent="0.45">
      <c r="A353" t="s">
        <v>719</v>
      </c>
      <c r="B353" s="2">
        <v>45896</v>
      </c>
      <c r="C353" t="s">
        <v>496</v>
      </c>
      <c r="D353" t="s">
        <v>380</v>
      </c>
      <c r="E353" t="s">
        <v>31</v>
      </c>
      <c r="F353">
        <v>7</v>
      </c>
      <c r="G353" s="3">
        <v>0.2</v>
      </c>
      <c r="H353" t="s">
        <v>14</v>
      </c>
      <c r="I353" t="s">
        <v>27</v>
      </c>
      <c r="J353" t="s">
        <v>59</v>
      </c>
    </row>
    <row r="354" spans="1:10" x14ac:dyDescent="0.45">
      <c r="A354" t="s">
        <v>720</v>
      </c>
      <c r="B354" s="2">
        <v>46145</v>
      </c>
      <c r="C354" t="s">
        <v>237</v>
      </c>
      <c r="D354" t="s">
        <v>380</v>
      </c>
      <c r="E354" t="s">
        <v>58</v>
      </c>
      <c r="F354">
        <v>11</v>
      </c>
      <c r="G354" s="3">
        <v>0.15</v>
      </c>
      <c r="H354" t="s">
        <v>26</v>
      </c>
      <c r="I354" t="s">
        <v>27</v>
      </c>
      <c r="J354" t="s">
        <v>21</v>
      </c>
    </row>
    <row r="355" spans="1:10" x14ac:dyDescent="0.45">
      <c r="A355" t="s">
        <v>721</v>
      </c>
      <c r="B355" s="2">
        <v>45914</v>
      </c>
      <c r="C355" t="s">
        <v>538</v>
      </c>
      <c r="D355" t="s">
        <v>12</v>
      </c>
      <c r="E355" t="s">
        <v>31</v>
      </c>
      <c r="F355">
        <v>8</v>
      </c>
      <c r="G355" s="3">
        <v>0.2</v>
      </c>
      <c r="H355" t="s">
        <v>14</v>
      </c>
      <c r="I355" t="s">
        <v>54</v>
      </c>
      <c r="J355" t="s">
        <v>21</v>
      </c>
    </row>
    <row r="356" spans="1:10" x14ac:dyDescent="0.45">
      <c r="A356" t="s">
        <v>722</v>
      </c>
      <c r="B356" s="2">
        <v>46168</v>
      </c>
      <c r="C356" t="s">
        <v>723</v>
      </c>
      <c r="D356" t="s">
        <v>529</v>
      </c>
      <c r="E356" t="s">
        <v>127</v>
      </c>
      <c r="F356">
        <v>11</v>
      </c>
      <c r="G356" s="3">
        <v>0</v>
      </c>
      <c r="H356" t="s">
        <v>26</v>
      </c>
      <c r="I356" t="s">
        <v>15</v>
      </c>
      <c r="J356" t="s">
        <v>21</v>
      </c>
    </row>
    <row r="357" spans="1:10" x14ac:dyDescent="0.45">
      <c r="A357" t="s">
        <v>724</v>
      </c>
      <c r="B357" s="2">
        <v>45756</v>
      </c>
      <c r="C357" t="s">
        <v>725</v>
      </c>
      <c r="D357" t="s">
        <v>246</v>
      </c>
      <c r="E357" t="s">
        <v>101</v>
      </c>
      <c r="F357">
        <v>2</v>
      </c>
      <c r="G357" s="3">
        <v>0.2</v>
      </c>
      <c r="H357" t="s">
        <v>53</v>
      </c>
      <c r="I357" t="s">
        <v>54</v>
      </c>
      <c r="J357" t="s">
        <v>21</v>
      </c>
    </row>
    <row r="358" spans="1:10" x14ac:dyDescent="0.45">
      <c r="A358" t="s">
        <v>726</v>
      </c>
      <c r="B358" s="2">
        <v>45925</v>
      </c>
      <c r="C358" t="s">
        <v>727</v>
      </c>
      <c r="D358" t="s">
        <v>210</v>
      </c>
      <c r="E358" t="s">
        <v>140</v>
      </c>
      <c r="F358">
        <v>9</v>
      </c>
      <c r="G358" s="3">
        <v>0.1</v>
      </c>
      <c r="H358" t="s">
        <v>53</v>
      </c>
      <c r="I358" t="s">
        <v>48</v>
      </c>
      <c r="J358" t="s">
        <v>107</v>
      </c>
    </row>
    <row r="359" spans="1:10" x14ac:dyDescent="0.45">
      <c r="A359" t="s">
        <v>728</v>
      </c>
      <c r="B359" s="2">
        <v>46050</v>
      </c>
      <c r="C359" t="s">
        <v>368</v>
      </c>
      <c r="D359" t="s">
        <v>235</v>
      </c>
      <c r="E359" t="s">
        <v>31</v>
      </c>
      <c r="F359">
        <v>8</v>
      </c>
      <c r="G359" s="3">
        <v>0.1</v>
      </c>
      <c r="H359" t="s">
        <v>53</v>
      </c>
      <c r="I359" t="s">
        <v>15</v>
      </c>
      <c r="J359" t="s">
        <v>21</v>
      </c>
    </row>
    <row r="360" spans="1:10" x14ac:dyDescent="0.45">
      <c r="A360" t="s">
        <v>729</v>
      </c>
      <c r="B360" s="2">
        <v>45968</v>
      </c>
      <c r="C360" t="s">
        <v>368</v>
      </c>
      <c r="D360" t="s">
        <v>185</v>
      </c>
      <c r="E360" t="s">
        <v>52</v>
      </c>
      <c r="F360">
        <v>12</v>
      </c>
      <c r="G360" s="3">
        <v>0.03</v>
      </c>
      <c r="H360" t="s">
        <v>14</v>
      </c>
      <c r="I360" t="s">
        <v>54</v>
      </c>
      <c r="J360" t="s">
        <v>21</v>
      </c>
    </row>
    <row r="361" spans="1:10" x14ac:dyDescent="0.45">
      <c r="A361" t="s">
        <v>730</v>
      </c>
      <c r="B361" s="2">
        <v>45770</v>
      </c>
      <c r="C361" t="s">
        <v>154</v>
      </c>
      <c r="D361" t="s">
        <v>210</v>
      </c>
      <c r="E361" t="s">
        <v>40</v>
      </c>
      <c r="F361">
        <v>10</v>
      </c>
      <c r="G361" s="3">
        <v>0.2</v>
      </c>
      <c r="H361" t="s">
        <v>53</v>
      </c>
      <c r="I361" t="s">
        <v>15</v>
      </c>
      <c r="J361" t="s">
        <v>21</v>
      </c>
    </row>
    <row r="362" spans="1:10" x14ac:dyDescent="0.45">
      <c r="A362" t="s">
        <v>731</v>
      </c>
      <c r="B362" s="2">
        <v>46058</v>
      </c>
      <c r="C362" t="s">
        <v>732</v>
      </c>
      <c r="D362" t="s">
        <v>233</v>
      </c>
      <c r="E362" t="s">
        <v>35</v>
      </c>
      <c r="F362">
        <v>5</v>
      </c>
      <c r="G362" s="3">
        <v>0.2</v>
      </c>
      <c r="H362" t="s">
        <v>14</v>
      </c>
      <c r="I362" t="s">
        <v>15</v>
      </c>
      <c r="J362" t="s">
        <v>21</v>
      </c>
    </row>
    <row r="363" spans="1:10" x14ac:dyDescent="0.45">
      <c r="A363" t="s">
        <v>733</v>
      </c>
      <c r="B363" s="2">
        <v>45720</v>
      </c>
      <c r="C363" t="s">
        <v>734</v>
      </c>
      <c r="D363" t="s">
        <v>106</v>
      </c>
      <c r="E363" t="s">
        <v>281</v>
      </c>
      <c r="F363">
        <v>1</v>
      </c>
      <c r="G363" s="3">
        <v>0</v>
      </c>
      <c r="H363" t="s">
        <v>14</v>
      </c>
      <c r="I363" t="s">
        <v>27</v>
      </c>
      <c r="J363" t="s">
        <v>21</v>
      </c>
    </row>
    <row r="364" spans="1:10" x14ac:dyDescent="0.45">
      <c r="A364" t="s">
        <v>735</v>
      </c>
      <c r="B364" s="2">
        <v>46007</v>
      </c>
      <c r="C364" t="s">
        <v>736</v>
      </c>
      <c r="D364" t="s">
        <v>78</v>
      </c>
      <c r="E364" t="s">
        <v>97</v>
      </c>
      <c r="F364">
        <v>7</v>
      </c>
      <c r="G364" s="3">
        <v>0</v>
      </c>
      <c r="H364" t="s">
        <v>14</v>
      </c>
      <c r="I364" t="s">
        <v>27</v>
      </c>
      <c r="J364" t="s">
        <v>21</v>
      </c>
    </row>
    <row r="365" spans="1:10" x14ac:dyDescent="0.45">
      <c r="A365" t="s">
        <v>737</v>
      </c>
      <c r="B365" s="2">
        <v>45898</v>
      </c>
      <c r="C365" t="s">
        <v>394</v>
      </c>
      <c r="D365" t="s">
        <v>410</v>
      </c>
      <c r="E365" t="s">
        <v>218</v>
      </c>
      <c r="F365">
        <v>11</v>
      </c>
      <c r="G365" s="3">
        <v>0.08</v>
      </c>
      <c r="H365" t="s">
        <v>14</v>
      </c>
      <c r="I365" t="s">
        <v>48</v>
      </c>
      <c r="J365" t="s">
        <v>36</v>
      </c>
    </row>
    <row r="366" spans="1:10" x14ac:dyDescent="0.45">
      <c r="A366" t="s">
        <v>738</v>
      </c>
      <c r="B366" s="2">
        <v>45678</v>
      </c>
      <c r="C366" t="s">
        <v>478</v>
      </c>
      <c r="D366" t="s">
        <v>57</v>
      </c>
      <c r="E366" t="s">
        <v>144</v>
      </c>
      <c r="F366">
        <v>9</v>
      </c>
      <c r="G366" s="3">
        <v>0.1</v>
      </c>
      <c r="H366" t="s">
        <v>14</v>
      </c>
      <c r="I366" t="s">
        <v>15</v>
      </c>
      <c r="J366" t="s">
        <v>21</v>
      </c>
    </row>
    <row r="367" spans="1:10" x14ac:dyDescent="0.45">
      <c r="A367" t="s">
        <v>739</v>
      </c>
      <c r="B367" s="2">
        <v>46138</v>
      </c>
      <c r="C367" t="s">
        <v>740</v>
      </c>
      <c r="D367" t="s">
        <v>312</v>
      </c>
      <c r="E367" t="s">
        <v>97</v>
      </c>
      <c r="F367">
        <v>10</v>
      </c>
      <c r="G367" s="3">
        <v>0</v>
      </c>
      <c r="H367" t="s">
        <v>26</v>
      </c>
      <c r="I367" t="s">
        <v>15</v>
      </c>
      <c r="J367" t="s">
        <v>21</v>
      </c>
    </row>
    <row r="368" spans="1:10" x14ac:dyDescent="0.45">
      <c r="A368" t="s">
        <v>741</v>
      </c>
      <c r="B368" s="2">
        <v>46158</v>
      </c>
      <c r="C368" t="s">
        <v>451</v>
      </c>
      <c r="D368" t="s">
        <v>94</v>
      </c>
      <c r="E368" t="s">
        <v>31</v>
      </c>
      <c r="F368">
        <v>2</v>
      </c>
      <c r="G368" s="3">
        <v>0.05</v>
      </c>
      <c r="H368" t="s">
        <v>14</v>
      </c>
      <c r="I368" t="s">
        <v>27</v>
      </c>
      <c r="J368" t="s">
        <v>21</v>
      </c>
    </row>
    <row r="369" spans="1:10" x14ac:dyDescent="0.45">
      <c r="A369" t="s">
        <v>742</v>
      </c>
      <c r="B369" s="2">
        <v>45864</v>
      </c>
      <c r="C369" t="s">
        <v>679</v>
      </c>
      <c r="D369" t="s">
        <v>202</v>
      </c>
      <c r="E369" t="s">
        <v>13</v>
      </c>
      <c r="F369">
        <v>8</v>
      </c>
      <c r="G369" s="3">
        <v>0</v>
      </c>
      <c r="H369" t="s">
        <v>53</v>
      </c>
      <c r="I369" t="s">
        <v>54</v>
      </c>
      <c r="J369" t="s">
        <v>21</v>
      </c>
    </row>
    <row r="370" spans="1:10" x14ac:dyDescent="0.45">
      <c r="A370" t="s">
        <v>743</v>
      </c>
      <c r="B370" s="2">
        <v>46069</v>
      </c>
      <c r="C370" t="s">
        <v>744</v>
      </c>
      <c r="D370" t="s">
        <v>391</v>
      </c>
      <c r="E370" t="s">
        <v>197</v>
      </c>
      <c r="F370">
        <v>4</v>
      </c>
      <c r="G370" s="3">
        <v>0</v>
      </c>
      <c r="H370" t="s">
        <v>53</v>
      </c>
      <c r="I370" t="s">
        <v>48</v>
      </c>
      <c r="J370" t="s">
        <v>21</v>
      </c>
    </row>
    <row r="371" spans="1:10" x14ac:dyDescent="0.45">
      <c r="A371" t="s">
        <v>745</v>
      </c>
      <c r="B371" s="2">
        <v>46201</v>
      </c>
      <c r="C371" t="s">
        <v>746</v>
      </c>
      <c r="D371" t="s">
        <v>277</v>
      </c>
      <c r="E371" t="s">
        <v>197</v>
      </c>
      <c r="F371">
        <v>8</v>
      </c>
      <c r="G371" s="3">
        <v>0.15</v>
      </c>
      <c r="H371" t="s">
        <v>14</v>
      </c>
      <c r="I371" t="s">
        <v>48</v>
      </c>
      <c r="J371" t="s">
        <v>21</v>
      </c>
    </row>
    <row r="372" spans="1:10" x14ac:dyDescent="0.45">
      <c r="A372" t="s">
        <v>747</v>
      </c>
      <c r="B372" s="2">
        <v>46101</v>
      </c>
      <c r="C372" t="s">
        <v>677</v>
      </c>
      <c r="D372" t="s">
        <v>233</v>
      </c>
      <c r="E372" t="s">
        <v>101</v>
      </c>
      <c r="F372">
        <v>11</v>
      </c>
      <c r="G372" s="3">
        <v>0.1</v>
      </c>
      <c r="H372" t="s">
        <v>14</v>
      </c>
      <c r="I372" t="s">
        <v>15</v>
      </c>
      <c r="J372" t="s">
        <v>21</v>
      </c>
    </row>
    <row r="373" spans="1:10" x14ac:dyDescent="0.45">
      <c r="A373" t="s">
        <v>748</v>
      </c>
      <c r="B373" s="2">
        <v>45842</v>
      </c>
      <c r="C373" t="s">
        <v>749</v>
      </c>
      <c r="D373" t="s">
        <v>75</v>
      </c>
      <c r="E373" t="s">
        <v>20</v>
      </c>
      <c r="F373">
        <v>1</v>
      </c>
      <c r="G373" s="3">
        <v>0.03</v>
      </c>
      <c r="H373" t="s">
        <v>14</v>
      </c>
      <c r="I373" t="s">
        <v>54</v>
      </c>
      <c r="J373" t="s">
        <v>21</v>
      </c>
    </row>
    <row r="374" spans="1:10" x14ac:dyDescent="0.45">
      <c r="A374" t="s">
        <v>750</v>
      </c>
      <c r="B374" s="2">
        <v>46203</v>
      </c>
      <c r="C374" t="s">
        <v>315</v>
      </c>
      <c r="D374" t="s">
        <v>449</v>
      </c>
      <c r="E374" t="s">
        <v>152</v>
      </c>
      <c r="F374">
        <v>10</v>
      </c>
      <c r="G374" s="3">
        <v>0.15</v>
      </c>
      <c r="H374" t="s">
        <v>26</v>
      </c>
      <c r="I374" t="s">
        <v>48</v>
      </c>
      <c r="J374" t="s">
        <v>21</v>
      </c>
    </row>
    <row r="375" spans="1:10" x14ac:dyDescent="0.45">
      <c r="A375" t="s">
        <v>751</v>
      </c>
      <c r="B375" s="2">
        <v>45904</v>
      </c>
      <c r="C375" t="s">
        <v>61</v>
      </c>
      <c r="D375" t="s">
        <v>449</v>
      </c>
      <c r="E375" t="s">
        <v>225</v>
      </c>
      <c r="F375">
        <v>3</v>
      </c>
      <c r="G375" s="3">
        <v>0.08</v>
      </c>
      <c r="H375" t="s">
        <v>53</v>
      </c>
      <c r="I375" t="s">
        <v>15</v>
      </c>
      <c r="J375" t="s">
        <v>21</v>
      </c>
    </row>
    <row r="376" spans="1:10" x14ac:dyDescent="0.45">
      <c r="A376" t="s">
        <v>752</v>
      </c>
      <c r="B376" s="2">
        <v>45931</v>
      </c>
      <c r="C376" t="s">
        <v>23</v>
      </c>
      <c r="D376" t="s">
        <v>249</v>
      </c>
      <c r="E376" t="s">
        <v>13</v>
      </c>
      <c r="F376">
        <v>5</v>
      </c>
      <c r="G376" s="3">
        <v>0.03</v>
      </c>
      <c r="H376" t="s">
        <v>14</v>
      </c>
      <c r="I376" t="s">
        <v>54</v>
      </c>
      <c r="J376" t="s">
        <v>21</v>
      </c>
    </row>
    <row r="377" spans="1:10" x14ac:dyDescent="0.45">
      <c r="A377" t="s">
        <v>753</v>
      </c>
      <c r="B377" s="2">
        <v>45686</v>
      </c>
      <c r="C377" t="s">
        <v>478</v>
      </c>
      <c r="D377" t="s">
        <v>246</v>
      </c>
      <c r="E377" t="s">
        <v>115</v>
      </c>
      <c r="F377">
        <v>4</v>
      </c>
      <c r="G377" s="3">
        <v>0.08</v>
      </c>
      <c r="H377" t="s">
        <v>14</v>
      </c>
      <c r="I377" t="s">
        <v>15</v>
      </c>
      <c r="J377" t="s">
        <v>21</v>
      </c>
    </row>
    <row r="378" spans="1:10" x14ac:dyDescent="0.45">
      <c r="A378" t="s">
        <v>754</v>
      </c>
      <c r="B378" s="2">
        <v>45937</v>
      </c>
      <c r="C378" t="s">
        <v>494</v>
      </c>
      <c r="D378" t="s">
        <v>430</v>
      </c>
      <c r="E378" t="s">
        <v>144</v>
      </c>
      <c r="F378">
        <v>3</v>
      </c>
      <c r="G378" s="3">
        <v>0</v>
      </c>
      <c r="H378" t="s">
        <v>14</v>
      </c>
      <c r="I378" t="s">
        <v>27</v>
      </c>
      <c r="J378" t="s">
        <v>21</v>
      </c>
    </row>
    <row r="379" spans="1:10" x14ac:dyDescent="0.45">
      <c r="A379" t="s">
        <v>755</v>
      </c>
      <c r="B379" s="2">
        <v>46155</v>
      </c>
      <c r="C379" t="s">
        <v>582</v>
      </c>
      <c r="D379" t="s">
        <v>348</v>
      </c>
      <c r="E379" t="s">
        <v>111</v>
      </c>
      <c r="F379">
        <v>1</v>
      </c>
      <c r="G379" s="3">
        <v>0</v>
      </c>
      <c r="H379" t="s">
        <v>53</v>
      </c>
      <c r="I379" t="s">
        <v>48</v>
      </c>
      <c r="J379" t="s">
        <v>21</v>
      </c>
    </row>
    <row r="380" spans="1:10" x14ac:dyDescent="0.45">
      <c r="A380" t="s">
        <v>756</v>
      </c>
      <c r="B380" s="2">
        <v>46030</v>
      </c>
      <c r="C380" t="s">
        <v>757</v>
      </c>
      <c r="D380" t="s">
        <v>277</v>
      </c>
      <c r="E380" t="s">
        <v>13</v>
      </c>
      <c r="F380">
        <v>11</v>
      </c>
      <c r="G380" s="3">
        <v>0</v>
      </c>
      <c r="H380" t="s">
        <v>14</v>
      </c>
      <c r="I380" t="s">
        <v>54</v>
      </c>
      <c r="J380" t="s">
        <v>21</v>
      </c>
    </row>
    <row r="381" spans="1:10" x14ac:dyDescent="0.45">
      <c r="A381" t="s">
        <v>758</v>
      </c>
      <c r="B381" s="2">
        <v>46192</v>
      </c>
      <c r="C381" t="s">
        <v>759</v>
      </c>
      <c r="D381" t="s">
        <v>233</v>
      </c>
      <c r="E381" t="s">
        <v>31</v>
      </c>
      <c r="F381">
        <v>11</v>
      </c>
      <c r="G381" s="3">
        <v>0.08</v>
      </c>
      <c r="H381" t="s">
        <v>14</v>
      </c>
      <c r="I381" t="s">
        <v>48</v>
      </c>
      <c r="J381" t="s">
        <v>21</v>
      </c>
    </row>
    <row r="382" spans="1:10" x14ac:dyDescent="0.45">
      <c r="A382" t="s">
        <v>760</v>
      </c>
      <c r="B382" s="2">
        <v>46057</v>
      </c>
      <c r="C382" t="s">
        <v>761</v>
      </c>
      <c r="D382" t="s">
        <v>88</v>
      </c>
      <c r="E382" t="s">
        <v>281</v>
      </c>
      <c r="F382">
        <v>12</v>
      </c>
      <c r="G382" s="3">
        <v>0.05</v>
      </c>
      <c r="H382" t="s">
        <v>26</v>
      </c>
      <c r="I382" t="s">
        <v>54</v>
      </c>
      <c r="J382" t="s">
        <v>21</v>
      </c>
    </row>
    <row r="383" spans="1:10" x14ac:dyDescent="0.45">
      <c r="A383" t="s">
        <v>762</v>
      </c>
      <c r="B383" s="2">
        <v>46108</v>
      </c>
      <c r="C383" t="s">
        <v>763</v>
      </c>
      <c r="D383" t="s">
        <v>130</v>
      </c>
      <c r="E383" t="s">
        <v>152</v>
      </c>
      <c r="F383">
        <v>7</v>
      </c>
      <c r="G383" s="3">
        <v>0.08</v>
      </c>
      <c r="H383" t="s">
        <v>53</v>
      </c>
      <c r="I383" t="s">
        <v>48</v>
      </c>
      <c r="J383" t="s">
        <v>21</v>
      </c>
    </row>
    <row r="384" spans="1:10" x14ac:dyDescent="0.45">
      <c r="A384" t="s">
        <v>764</v>
      </c>
      <c r="B384" s="2">
        <v>46091</v>
      </c>
      <c r="C384" t="s">
        <v>438</v>
      </c>
      <c r="D384" t="s">
        <v>646</v>
      </c>
      <c r="E384" t="s">
        <v>281</v>
      </c>
      <c r="F384">
        <v>8</v>
      </c>
      <c r="G384" s="3">
        <v>0.05</v>
      </c>
      <c r="H384" t="s">
        <v>26</v>
      </c>
      <c r="I384" t="s">
        <v>54</v>
      </c>
      <c r="J384" t="s">
        <v>21</v>
      </c>
    </row>
    <row r="385" spans="1:10" x14ac:dyDescent="0.45">
      <c r="A385" t="s">
        <v>765</v>
      </c>
      <c r="B385" s="2">
        <v>45679</v>
      </c>
      <c r="C385" t="s">
        <v>706</v>
      </c>
      <c r="D385" t="s">
        <v>139</v>
      </c>
      <c r="E385" t="s">
        <v>101</v>
      </c>
      <c r="F385">
        <v>11</v>
      </c>
      <c r="G385" s="3">
        <v>0</v>
      </c>
      <c r="H385" t="s">
        <v>53</v>
      </c>
      <c r="I385" t="s">
        <v>48</v>
      </c>
      <c r="J385" t="s">
        <v>59</v>
      </c>
    </row>
    <row r="386" spans="1:10" x14ac:dyDescent="0.45">
      <c r="A386" t="s">
        <v>766</v>
      </c>
      <c r="B386" s="2">
        <v>46051</v>
      </c>
      <c r="C386" t="s">
        <v>767</v>
      </c>
      <c r="D386" t="s">
        <v>283</v>
      </c>
      <c r="E386" t="s">
        <v>152</v>
      </c>
      <c r="F386">
        <v>5</v>
      </c>
      <c r="G386" s="3">
        <v>0.1</v>
      </c>
      <c r="H386" t="s">
        <v>26</v>
      </c>
      <c r="I386" t="s">
        <v>48</v>
      </c>
      <c r="J386" t="s">
        <v>21</v>
      </c>
    </row>
    <row r="387" spans="1:10" x14ac:dyDescent="0.45">
      <c r="A387" t="s">
        <v>768</v>
      </c>
      <c r="B387" s="2">
        <v>45666</v>
      </c>
      <c r="C387" t="s">
        <v>488</v>
      </c>
      <c r="D387" t="s">
        <v>500</v>
      </c>
      <c r="E387" t="s">
        <v>136</v>
      </c>
      <c r="F387">
        <v>7</v>
      </c>
      <c r="G387" s="3">
        <v>0.08</v>
      </c>
      <c r="H387" t="s">
        <v>14</v>
      </c>
      <c r="I387" t="s">
        <v>54</v>
      </c>
      <c r="J387" t="s">
        <v>21</v>
      </c>
    </row>
    <row r="388" spans="1:10" x14ac:dyDescent="0.45">
      <c r="A388" t="s">
        <v>769</v>
      </c>
      <c r="B388" s="2">
        <v>45982</v>
      </c>
      <c r="C388" t="s">
        <v>466</v>
      </c>
      <c r="D388" t="s">
        <v>500</v>
      </c>
      <c r="E388" t="s">
        <v>25</v>
      </c>
      <c r="F388">
        <v>11</v>
      </c>
      <c r="G388" s="3">
        <v>0.15</v>
      </c>
      <c r="H388" t="s">
        <v>53</v>
      </c>
      <c r="I388" t="s">
        <v>27</v>
      </c>
      <c r="J388" t="s">
        <v>36</v>
      </c>
    </row>
    <row r="389" spans="1:10" x14ac:dyDescent="0.45">
      <c r="A389" t="s">
        <v>770</v>
      </c>
      <c r="B389" s="2">
        <v>46080</v>
      </c>
      <c r="C389" t="s">
        <v>771</v>
      </c>
      <c r="D389" t="s">
        <v>210</v>
      </c>
      <c r="E389" t="s">
        <v>47</v>
      </c>
      <c r="F389">
        <v>6</v>
      </c>
      <c r="G389" s="3">
        <v>0.15</v>
      </c>
      <c r="H389" t="s">
        <v>53</v>
      </c>
      <c r="I389" t="s">
        <v>48</v>
      </c>
      <c r="J389" t="s">
        <v>16</v>
      </c>
    </row>
    <row r="390" spans="1:10" x14ac:dyDescent="0.45">
      <c r="A390" t="s">
        <v>772</v>
      </c>
      <c r="B390" s="2">
        <v>45725</v>
      </c>
      <c r="C390" t="s">
        <v>773</v>
      </c>
      <c r="D390" t="s">
        <v>24</v>
      </c>
      <c r="E390" t="s">
        <v>140</v>
      </c>
      <c r="F390">
        <v>6</v>
      </c>
      <c r="G390" s="3">
        <v>0.15</v>
      </c>
      <c r="H390" t="s">
        <v>53</v>
      </c>
      <c r="I390" t="s">
        <v>27</v>
      </c>
      <c r="J390" t="s">
        <v>21</v>
      </c>
    </row>
    <row r="391" spans="1:10" x14ac:dyDescent="0.45">
      <c r="A391" t="s">
        <v>774</v>
      </c>
      <c r="B391" s="2">
        <v>45846</v>
      </c>
      <c r="C391" t="s">
        <v>609</v>
      </c>
      <c r="D391" t="s">
        <v>529</v>
      </c>
      <c r="E391" t="s">
        <v>25</v>
      </c>
      <c r="F391">
        <v>11</v>
      </c>
      <c r="G391" s="3">
        <v>0.2</v>
      </c>
      <c r="H391" t="s">
        <v>53</v>
      </c>
      <c r="I391" t="s">
        <v>54</v>
      </c>
      <c r="J391" t="s">
        <v>21</v>
      </c>
    </row>
    <row r="392" spans="1:10" x14ac:dyDescent="0.45">
      <c r="A392" t="s">
        <v>775</v>
      </c>
      <c r="B392" s="2">
        <v>45742</v>
      </c>
      <c r="C392" t="s">
        <v>265</v>
      </c>
      <c r="D392" t="s">
        <v>320</v>
      </c>
      <c r="E392" t="s">
        <v>281</v>
      </c>
      <c r="F392">
        <v>2</v>
      </c>
      <c r="G392" s="3">
        <v>0.03</v>
      </c>
      <c r="H392" t="s">
        <v>14</v>
      </c>
      <c r="I392" t="s">
        <v>54</v>
      </c>
      <c r="J392" t="s">
        <v>16</v>
      </c>
    </row>
    <row r="393" spans="1:10" x14ac:dyDescent="0.45">
      <c r="A393" t="s">
        <v>776</v>
      </c>
      <c r="B393" s="2">
        <v>46120</v>
      </c>
      <c r="C393" t="s">
        <v>777</v>
      </c>
      <c r="D393" t="s">
        <v>68</v>
      </c>
      <c r="E393" t="s">
        <v>281</v>
      </c>
      <c r="F393">
        <v>8</v>
      </c>
      <c r="G393" s="3">
        <v>0.03</v>
      </c>
      <c r="H393" t="s">
        <v>14</v>
      </c>
      <c r="I393" t="s">
        <v>27</v>
      </c>
      <c r="J393" t="s">
        <v>16</v>
      </c>
    </row>
    <row r="394" spans="1:10" x14ac:dyDescent="0.45">
      <c r="A394" t="s">
        <v>778</v>
      </c>
      <c r="B394" s="2">
        <v>46034</v>
      </c>
      <c r="C394" t="s">
        <v>779</v>
      </c>
      <c r="D394" t="s">
        <v>241</v>
      </c>
      <c r="E394" t="s">
        <v>13</v>
      </c>
      <c r="F394">
        <v>3</v>
      </c>
      <c r="G394" s="3">
        <v>0.15</v>
      </c>
      <c r="H394" t="s">
        <v>53</v>
      </c>
      <c r="I394" t="s">
        <v>54</v>
      </c>
      <c r="J394" t="s">
        <v>21</v>
      </c>
    </row>
    <row r="395" spans="1:10" x14ac:dyDescent="0.45">
      <c r="A395" t="s">
        <v>780</v>
      </c>
      <c r="B395" s="2">
        <v>45892</v>
      </c>
      <c r="C395" t="s">
        <v>781</v>
      </c>
      <c r="D395" t="s">
        <v>502</v>
      </c>
      <c r="E395" t="s">
        <v>25</v>
      </c>
      <c r="F395">
        <v>2</v>
      </c>
      <c r="G395" s="3">
        <v>0.2</v>
      </c>
      <c r="H395" t="s">
        <v>14</v>
      </c>
      <c r="I395" t="s">
        <v>54</v>
      </c>
      <c r="J395" t="s">
        <v>21</v>
      </c>
    </row>
    <row r="396" spans="1:10" x14ac:dyDescent="0.45">
      <c r="A396" t="s">
        <v>782</v>
      </c>
      <c r="B396" s="2">
        <v>45924</v>
      </c>
      <c r="C396" t="s">
        <v>783</v>
      </c>
      <c r="D396" t="s">
        <v>295</v>
      </c>
      <c r="E396" t="s">
        <v>82</v>
      </c>
      <c r="F396">
        <v>3</v>
      </c>
      <c r="G396" s="3">
        <v>0</v>
      </c>
      <c r="H396" t="s">
        <v>26</v>
      </c>
      <c r="I396" t="s">
        <v>54</v>
      </c>
      <c r="J396" t="s">
        <v>107</v>
      </c>
    </row>
    <row r="397" spans="1:10" x14ac:dyDescent="0.45">
      <c r="A397" t="s">
        <v>784</v>
      </c>
      <c r="B397" s="2">
        <v>46196</v>
      </c>
      <c r="C397" t="s">
        <v>243</v>
      </c>
      <c r="D397" t="s">
        <v>110</v>
      </c>
      <c r="E397" t="s">
        <v>72</v>
      </c>
      <c r="F397">
        <v>7</v>
      </c>
      <c r="G397" s="3">
        <v>0.2</v>
      </c>
      <c r="H397" t="s">
        <v>53</v>
      </c>
      <c r="I397" t="s">
        <v>15</v>
      </c>
      <c r="J397" t="s">
        <v>21</v>
      </c>
    </row>
    <row r="398" spans="1:10" x14ac:dyDescent="0.45">
      <c r="A398" t="s">
        <v>785</v>
      </c>
      <c r="B398" s="2">
        <v>45930</v>
      </c>
      <c r="C398" t="s">
        <v>786</v>
      </c>
      <c r="D398" t="s">
        <v>249</v>
      </c>
      <c r="E398" t="s">
        <v>115</v>
      </c>
      <c r="F398">
        <v>5</v>
      </c>
      <c r="G398" s="3">
        <v>0.2</v>
      </c>
      <c r="H398" t="s">
        <v>14</v>
      </c>
      <c r="I398" t="s">
        <v>15</v>
      </c>
      <c r="J398" t="s">
        <v>36</v>
      </c>
    </row>
    <row r="399" spans="1:10" x14ac:dyDescent="0.45">
      <c r="A399" t="s">
        <v>787</v>
      </c>
      <c r="B399" s="2">
        <v>45851</v>
      </c>
      <c r="C399" t="s">
        <v>788</v>
      </c>
      <c r="D399" t="s">
        <v>130</v>
      </c>
      <c r="E399" t="s">
        <v>101</v>
      </c>
      <c r="F399">
        <v>7</v>
      </c>
      <c r="G399" s="3">
        <v>0.03</v>
      </c>
      <c r="H399" t="s">
        <v>14</v>
      </c>
      <c r="I399" t="s">
        <v>54</v>
      </c>
      <c r="J399" t="s">
        <v>21</v>
      </c>
    </row>
    <row r="400" spans="1:10" x14ac:dyDescent="0.45">
      <c r="A400" t="s">
        <v>789</v>
      </c>
      <c r="B400" s="2">
        <v>46119</v>
      </c>
      <c r="C400" t="s">
        <v>790</v>
      </c>
      <c r="D400" t="s">
        <v>283</v>
      </c>
      <c r="E400" t="s">
        <v>82</v>
      </c>
      <c r="F400">
        <v>4</v>
      </c>
      <c r="G400" s="3">
        <v>0.1</v>
      </c>
      <c r="H400" t="s">
        <v>14</v>
      </c>
      <c r="I400" t="s">
        <v>15</v>
      </c>
      <c r="J400" t="s">
        <v>21</v>
      </c>
    </row>
    <row r="401" spans="1:10" x14ac:dyDescent="0.45">
      <c r="A401" t="s">
        <v>791</v>
      </c>
      <c r="B401" s="2">
        <v>46065</v>
      </c>
      <c r="C401" t="s">
        <v>792</v>
      </c>
      <c r="D401" t="s">
        <v>182</v>
      </c>
      <c r="E401" t="s">
        <v>281</v>
      </c>
      <c r="F401">
        <v>11</v>
      </c>
      <c r="G401" s="3">
        <v>0.05</v>
      </c>
      <c r="H401" t="s">
        <v>53</v>
      </c>
      <c r="I401" t="s">
        <v>15</v>
      </c>
      <c r="J401" t="s">
        <v>59</v>
      </c>
    </row>
    <row r="402" spans="1:10" x14ac:dyDescent="0.45">
      <c r="A402" t="s">
        <v>793</v>
      </c>
      <c r="B402" s="2">
        <v>45718</v>
      </c>
      <c r="C402" t="s">
        <v>271</v>
      </c>
      <c r="D402" t="s">
        <v>39</v>
      </c>
      <c r="E402" t="s">
        <v>31</v>
      </c>
      <c r="F402">
        <v>1</v>
      </c>
      <c r="G402" s="3">
        <v>0.1</v>
      </c>
      <c r="H402" t="s">
        <v>26</v>
      </c>
      <c r="I402" t="s">
        <v>15</v>
      </c>
      <c r="J402" t="s">
        <v>36</v>
      </c>
    </row>
    <row r="403" spans="1:10" x14ac:dyDescent="0.45">
      <c r="A403" t="s">
        <v>794</v>
      </c>
      <c r="B403" s="2">
        <v>45704</v>
      </c>
      <c r="C403" t="s">
        <v>795</v>
      </c>
      <c r="D403" t="s">
        <v>81</v>
      </c>
      <c r="E403" t="s">
        <v>72</v>
      </c>
      <c r="F403">
        <v>1</v>
      </c>
      <c r="G403" s="3">
        <v>0.08</v>
      </c>
      <c r="H403" t="s">
        <v>14</v>
      </c>
      <c r="I403" t="s">
        <v>15</v>
      </c>
      <c r="J403" t="s">
        <v>21</v>
      </c>
    </row>
    <row r="404" spans="1:10" x14ac:dyDescent="0.45">
      <c r="A404" t="s">
        <v>796</v>
      </c>
      <c r="B404" s="2">
        <v>45700</v>
      </c>
      <c r="C404" t="s">
        <v>718</v>
      </c>
      <c r="D404" t="s">
        <v>139</v>
      </c>
      <c r="E404" t="s">
        <v>225</v>
      </c>
      <c r="F404">
        <v>10</v>
      </c>
      <c r="G404" s="3">
        <v>0.03</v>
      </c>
      <c r="H404" t="s">
        <v>14</v>
      </c>
      <c r="I404" t="s">
        <v>15</v>
      </c>
      <c r="J404" t="s">
        <v>36</v>
      </c>
    </row>
    <row r="405" spans="1:10" x14ac:dyDescent="0.45">
      <c r="A405" t="s">
        <v>797</v>
      </c>
      <c r="B405" s="2">
        <v>45982</v>
      </c>
      <c r="C405" t="s">
        <v>798</v>
      </c>
      <c r="D405" t="s">
        <v>91</v>
      </c>
      <c r="E405" t="s">
        <v>127</v>
      </c>
      <c r="F405">
        <v>12</v>
      </c>
      <c r="G405" s="3">
        <v>0.15</v>
      </c>
      <c r="H405" t="s">
        <v>14</v>
      </c>
      <c r="I405" t="s">
        <v>48</v>
      </c>
      <c r="J405" t="s">
        <v>21</v>
      </c>
    </row>
    <row r="406" spans="1:10" x14ac:dyDescent="0.45">
      <c r="A406" t="s">
        <v>799</v>
      </c>
      <c r="B406" s="2">
        <v>46027</v>
      </c>
      <c r="C406" t="s">
        <v>800</v>
      </c>
      <c r="D406" t="s">
        <v>365</v>
      </c>
      <c r="E406" t="s">
        <v>152</v>
      </c>
      <c r="F406">
        <v>7</v>
      </c>
      <c r="G406" s="3">
        <v>0.08</v>
      </c>
      <c r="H406" t="s">
        <v>26</v>
      </c>
      <c r="I406" t="s">
        <v>27</v>
      </c>
      <c r="J406" t="s">
        <v>21</v>
      </c>
    </row>
    <row r="407" spans="1:10" x14ac:dyDescent="0.45">
      <c r="A407" t="s">
        <v>801</v>
      </c>
      <c r="B407" s="2">
        <v>45978</v>
      </c>
      <c r="C407" t="s">
        <v>802</v>
      </c>
      <c r="D407" t="s">
        <v>24</v>
      </c>
      <c r="E407" t="s">
        <v>140</v>
      </c>
      <c r="F407">
        <v>7</v>
      </c>
      <c r="G407" s="3">
        <v>0.03</v>
      </c>
      <c r="H407" t="s">
        <v>14</v>
      </c>
      <c r="I407" t="s">
        <v>15</v>
      </c>
      <c r="J407" t="s">
        <v>59</v>
      </c>
    </row>
    <row r="408" spans="1:10" x14ac:dyDescent="0.45">
      <c r="A408" t="s">
        <v>803</v>
      </c>
      <c r="B408" s="2">
        <v>46108</v>
      </c>
      <c r="C408" t="s">
        <v>804</v>
      </c>
      <c r="D408" t="s">
        <v>502</v>
      </c>
      <c r="E408" t="s">
        <v>20</v>
      </c>
      <c r="F408">
        <v>1</v>
      </c>
      <c r="G408" s="3">
        <v>0.05</v>
      </c>
      <c r="H408" t="s">
        <v>14</v>
      </c>
      <c r="I408" t="s">
        <v>54</v>
      </c>
      <c r="J408" t="s">
        <v>21</v>
      </c>
    </row>
    <row r="409" spans="1:10" x14ac:dyDescent="0.45">
      <c r="A409" t="s">
        <v>805</v>
      </c>
      <c r="B409" s="2">
        <v>46136</v>
      </c>
      <c r="C409" t="s">
        <v>806</v>
      </c>
      <c r="D409" t="s">
        <v>24</v>
      </c>
      <c r="E409" t="s">
        <v>144</v>
      </c>
      <c r="F409">
        <v>7</v>
      </c>
      <c r="G409" s="3">
        <v>0</v>
      </c>
      <c r="H409" t="s">
        <v>26</v>
      </c>
      <c r="I409" t="s">
        <v>15</v>
      </c>
      <c r="J409" t="s">
        <v>21</v>
      </c>
    </row>
    <row r="410" spans="1:10" x14ac:dyDescent="0.45">
      <c r="A410" t="s">
        <v>807</v>
      </c>
      <c r="B410" s="2">
        <v>46126</v>
      </c>
      <c r="C410" t="s">
        <v>175</v>
      </c>
      <c r="D410" t="s">
        <v>502</v>
      </c>
      <c r="E410" t="s">
        <v>47</v>
      </c>
      <c r="F410">
        <v>8</v>
      </c>
      <c r="G410" s="3">
        <v>0</v>
      </c>
      <c r="H410" t="s">
        <v>53</v>
      </c>
      <c r="I410" t="s">
        <v>54</v>
      </c>
      <c r="J410" t="s">
        <v>21</v>
      </c>
    </row>
    <row r="411" spans="1:10" x14ac:dyDescent="0.45">
      <c r="A411" t="s">
        <v>808</v>
      </c>
      <c r="B411" s="2">
        <v>45842</v>
      </c>
      <c r="C411" t="s">
        <v>663</v>
      </c>
      <c r="D411" t="s">
        <v>249</v>
      </c>
      <c r="E411" t="s">
        <v>101</v>
      </c>
      <c r="F411">
        <v>3</v>
      </c>
      <c r="G411" s="3">
        <v>0.08</v>
      </c>
      <c r="H411" t="s">
        <v>14</v>
      </c>
      <c r="I411" t="s">
        <v>54</v>
      </c>
      <c r="J411" t="s">
        <v>21</v>
      </c>
    </row>
    <row r="412" spans="1:10" x14ac:dyDescent="0.45">
      <c r="A412" t="s">
        <v>809</v>
      </c>
      <c r="B412" s="2">
        <v>45842</v>
      </c>
      <c r="C412" t="s">
        <v>604</v>
      </c>
      <c r="D412" t="s">
        <v>404</v>
      </c>
      <c r="E412" t="s">
        <v>40</v>
      </c>
      <c r="F412">
        <v>7</v>
      </c>
      <c r="G412" s="3">
        <v>0</v>
      </c>
      <c r="H412" t="s">
        <v>14</v>
      </c>
      <c r="I412" t="s">
        <v>15</v>
      </c>
      <c r="J412" t="s">
        <v>59</v>
      </c>
    </row>
    <row r="413" spans="1:10" x14ac:dyDescent="0.45">
      <c r="A413" t="s">
        <v>810</v>
      </c>
      <c r="B413" s="2">
        <v>45782</v>
      </c>
      <c r="C413" t="s">
        <v>811</v>
      </c>
      <c r="D413" t="s">
        <v>19</v>
      </c>
      <c r="E413" t="s">
        <v>101</v>
      </c>
      <c r="F413">
        <v>7</v>
      </c>
      <c r="G413" s="3">
        <v>0.1</v>
      </c>
      <c r="H413" t="s">
        <v>14</v>
      </c>
      <c r="I413" t="s">
        <v>48</v>
      </c>
      <c r="J413" t="s">
        <v>16</v>
      </c>
    </row>
    <row r="414" spans="1:10" x14ac:dyDescent="0.45">
      <c r="A414" t="s">
        <v>812</v>
      </c>
      <c r="B414" s="2">
        <v>46129</v>
      </c>
      <c r="C414" t="s">
        <v>535</v>
      </c>
      <c r="D414" t="s">
        <v>19</v>
      </c>
      <c r="E414" t="s">
        <v>127</v>
      </c>
      <c r="F414">
        <v>12</v>
      </c>
      <c r="G414" s="3">
        <v>0.2</v>
      </c>
      <c r="H414" t="s">
        <v>14</v>
      </c>
      <c r="I414" t="s">
        <v>27</v>
      </c>
      <c r="J414" t="s">
        <v>21</v>
      </c>
    </row>
    <row r="415" spans="1:10" x14ac:dyDescent="0.45">
      <c r="A415" t="s">
        <v>813</v>
      </c>
      <c r="B415" s="2">
        <v>46121</v>
      </c>
      <c r="C415" t="s">
        <v>604</v>
      </c>
      <c r="D415" t="s">
        <v>148</v>
      </c>
      <c r="E415" t="s">
        <v>35</v>
      </c>
      <c r="F415">
        <v>6</v>
      </c>
      <c r="G415" s="3">
        <v>0.03</v>
      </c>
      <c r="H415" t="s">
        <v>14</v>
      </c>
      <c r="I415" t="s">
        <v>48</v>
      </c>
      <c r="J415" t="s">
        <v>16</v>
      </c>
    </row>
    <row r="416" spans="1:10" x14ac:dyDescent="0.45">
      <c r="A416" t="s">
        <v>814</v>
      </c>
      <c r="B416" s="2">
        <v>45730</v>
      </c>
      <c r="C416" t="s">
        <v>815</v>
      </c>
      <c r="D416" t="s">
        <v>135</v>
      </c>
      <c r="E416" t="s">
        <v>35</v>
      </c>
      <c r="F416">
        <v>9</v>
      </c>
      <c r="G416" s="3">
        <v>0.15</v>
      </c>
      <c r="H416" t="s">
        <v>14</v>
      </c>
      <c r="I416" t="s">
        <v>27</v>
      </c>
      <c r="J416" t="s">
        <v>21</v>
      </c>
    </row>
    <row r="417" spans="1:10" x14ac:dyDescent="0.45">
      <c r="A417" t="s">
        <v>816</v>
      </c>
      <c r="B417" s="2">
        <v>45679</v>
      </c>
      <c r="C417" t="s">
        <v>817</v>
      </c>
      <c r="D417" t="s">
        <v>380</v>
      </c>
      <c r="E417" t="s">
        <v>127</v>
      </c>
      <c r="F417">
        <v>4</v>
      </c>
      <c r="G417" s="3">
        <v>0.03</v>
      </c>
      <c r="H417" t="s">
        <v>14</v>
      </c>
      <c r="I417" t="s">
        <v>15</v>
      </c>
      <c r="J417" t="s">
        <v>21</v>
      </c>
    </row>
    <row r="418" spans="1:10" x14ac:dyDescent="0.45">
      <c r="A418" t="s">
        <v>818</v>
      </c>
      <c r="B418" s="2">
        <v>45963</v>
      </c>
      <c r="C418" t="s">
        <v>132</v>
      </c>
      <c r="D418" t="s">
        <v>246</v>
      </c>
      <c r="E418" t="s">
        <v>31</v>
      </c>
      <c r="F418">
        <v>8</v>
      </c>
      <c r="G418" s="3">
        <v>0.15</v>
      </c>
      <c r="H418" t="s">
        <v>53</v>
      </c>
      <c r="I418" t="s">
        <v>27</v>
      </c>
      <c r="J418" t="s">
        <v>36</v>
      </c>
    </row>
    <row r="419" spans="1:10" x14ac:dyDescent="0.45">
      <c r="A419" t="s">
        <v>819</v>
      </c>
      <c r="B419" s="2">
        <v>45756</v>
      </c>
      <c r="C419" t="s">
        <v>396</v>
      </c>
      <c r="D419" t="s">
        <v>91</v>
      </c>
      <c r="E419" t="s">
        <v>58</v>
      </c>
      <c r="F419">
        <v>6</v>
      </c>
      <c r="G419" s="3">
        <v>0.05</v>
      </c>
      <c r="H419" t="s">
        <v>14</v>
      </c>
      <c r="I419" t="s">
        <v>15</v>
      </c>
      <c r="J419" t="s">
        <v>21</v>
      </c>
    </row>
    <row r="420" spans="1:10" x14ac:dyDescent="0.45">
      <c r="A420" t="s">
        <v>820</v>
      </c>
      <c r="B420" s="2">
        <v>45750</v>
      </c>
      <c r="C420" t="s">
        <v>384</v>
      </c>
      <c r="D420" t="s">
        <v>81</v>
      </c>
      <c r="E420" t="s">
        <v>13</v>
      </c>
      <c r="F420">
        <v>7</v>
      </c>
      <c r="G420" s="3">
        <v>0.1</v>
      </c>
      <c r="H420" t="s">
        <v>53</v>
      </c>
      <c r="I420" t="s">
        <v>15</v>
      </c>
      <c r="J420" t="s">
        <v>21</v>
      </c>
    </row>
    <row r="421" spans="1:10" x14ac:dyDescent="0.45">
      <c r="A421" t="s">
        <v>821</v>
      </c>
      <c r="B421" s="2">
        <v>46007</v>
      </c>
      <c r="C421" t="s">
        <v>663</v>
      </c>
      <c r="D421" t="s">
        <v>348</v>
      </c>
      <c r="E421" t="s">
        <v>140</v>
      </c>
      <c r="F421">
        <v>8</v>
      </c>
      <c r="G421" s="3">
        <v>0.05</v>
      </c>
      <c r="H421" t="s">
        <v>53</v>
      </c>
      <c r="I421" t="s">
        <v>54</v>
      </c>
      <c r="J421" t="s">
        <v>36</v>
      </c>
    </row>
    <row r="422" spans="1:10" x14ac:dyDescent="0.45">
      <c r="A422" t="s">
        <v>822</v>
      </c>
      <c r="B422" s="2">
        <v>45955</v>
      </c>
      <c r="C422" t="s">
        <v>823</v>
      </c>
      <c r="D422" t="s">
        <v>404</v>
      </c>
      <c r="E422" t="s">
        <v>127</v>
      </c>
      <c r="F422">
        <v>8</v>
      </c>
      <c r="G422" s="3">
        <v>0.15</v>
      </c>
      <c r="H422" t="s">
        <v>14</v>
      </c>
      <c r="I422" t="s">
        <v>15</v>
      </c>
      <c r="J422" t="s">
        <v>21</v>
      </c>
    </row>
    <row r="423" spans="1:10" x14ac:dyDescent="0.45">
      <c r="A423" t="s">
        <v>824</v>
      </c>
      <c r="B423" s="2">
        <v>46193</v>
      </c>
      <c r="C423" t="s">
        <v>800</v>
      </c>
      <c r="D423" t="s">
        <v>391</v>
      </c>
      <c r="E423" t="s">
        <v>218</v>
      </c>
      <c r="F423">
        <v>7</v>
      </c>
      <c r="G423" s="3">
        <v>0.08</v>
      </c>
      <c r="H423" t="s">
        <v>14</v>
      </c>
      <c r="I423" t="s">
        <v>48</v>
      </c>
      <c r="J423" t="s">
        <v>36</v>
      </c>
    </row>
    <row r="424" spans="1:10" x14ac:dyDescent="0.45">
      <c r="A424" t="s">
        <v>825</v>
      </c>
      <c r="B424" s="2">
        <v>46093</v>
      </c>
      <c r="C424" t="s">
        <v>546</v>
      </c>
      <c r="D424" t="s">
        <v>12</v>
      </c>
      <c r="E424" t="s">
        <v>140</v>
      </c>
      <c r="F424">
        <v>7</v>
      </c>
      <c r="G424" s="3">
        <v>0</v>
      </c>
      <c r="H424" t="s">
        <v>14</v>
      </c>
      <c r="I424" t="s">
        <v>27</v>
      </c>
      <c r="J424" t="s">
        <v>21</v>
      </c>
    </row>
    <row r="425" spans="1:10" x14ac:dyDescent="0.45">
      <c r="A425" t="s">
        <v>826</v>
      </c>
      <c r="B425" s="2">
        <v>46173</v>
      </c>
      <c r="C425" t="s">
        <v>120</v>
      </c>
      <c r="D425" t="s">
        <v>241</v>
      </c>
      <c r="E425" t="s">
        <v>40</v>
      </c>
      <c r="F425">
        <v>1</v>
      </c>
      <c r="G425" s="3">
        <v>0</v>
      </c>
      <c r="H425" t="s">
        <v>53</v>
      </c>
      <c r="I425" t="s">
        <v>15</v>
      </c>
      <c r="J425" t="s">
        <v>21</v>
      </c>
    </row>
    <row r="426" spans="1:10" x14ac:dyDescent="0.45">
      <c r="A426" t="s">
        <v>827</v>
      </c>
      <c r="B426" s="2">
        <v>45743</v>
      </c>
      <c r="C426" t="s">
        <v>828</v>
      </c>
      <c r="D426" t="s">
        <v>318</v>
      </c>
      <c r="E426" t="s">
        <v>35</v>
      </c>
      <c r="F426">
        <v>7</v>
      </c>
      <c r="G426" s="3">
        <v>0.08</v>
      </c>
      <c r="H426" t="s">
        <v>14</v>
      </c>
      <c r="I426" t="s">
        <v>15</v>
      </c>
      <c r="J426" t="s">
        <v>59</v>
      </c>
    </row>
    <row r="427" spans="1:10" x14ac:dyDescent="0.45">
      <c r="A427" t="s">
        <v>829</v>
      </c>
      <c r="B427" s="2">
        <v>46007</v>
      </c>
      <c r="C427" t="s">
        <v>74</v>
      </c>
      <c r="D427" t="s">
        <v>30</v>
      </c>
      <c r="E427" t="s">
        <v>152</v>
      </c>
      <c r="F427">
        <v>3</v>
      </c>
      <c r="G427" s="3">
        <v>0.05</v>
      </c>
      <c r="H427" t="s">
        <v>14</v>
      </c>
      <c r="I427" t="s">
        <v>27</v>
      </c>
      <c r="J427" t="s">
        <v>36</v>
      </c>
    </row>
    <row r="428" spans="1:10" x14ac:dyDescent="0.45">
      <c r="A428" t="s">
        <v>830</v>
      </c>
      <c r="B428" s="2">
        <v>45676</v>
      </c>
      <c r="C428" t="s">
        <v>245</v>
      </c>
      <c r="D428" t="s">
        <v>235</v>
      </c>
      <c r="E428" t="s">
        <v>52</v>
      </c>
      <c r="F428">
        <v>1</v>
      </c>
      <c r="G428" s="3">
        <v>0.15</v>
      </c>
      <c r="H428" t="s">
        <v>14</v>
      </c>
      <c r="I428" t="s">
        <v>54</v>
      </c>
      <c r="J428" t="s">
        <v>21</v>
      </c>
    </row>
    <row r="429" spans="1:10" x14ac:dyDescent="0.45">
      <c r="A429" t="s">
        <v>831</v>
      </c>
      <c r="B429" s="2">
        <v>46156</v>
      </c>
      <c r="C429" t="s">
        <v>291</v>
      </c>
      <c r="D429" t="s">
        <v>380</v>
      </c>
      <c r="E429" t="s">
        <v>20</v>
      </c>
      <c r="F429">
        <v>5</v>
      </c>
      <c r="G429" s="3">
        <v>0.1</v>
      </c>
      <c r="H429" t="s">
        <v>53</v>
      </c>
      <c r="I429" t="s">
        <v>15</v>
      </c>
      <c r="J429" t="s">
        <v>16</v>
      </c>
    </row>
    <row r="430" spans="1:10" x14ac:dyDescent="0.45">
      <c r="A430" t="s">
        <v>832</v>
      </c>
      <c r="B430" s="2">
        <v>45672</v>
      </c>
      <c r="C430" t="s">
        <v>833</v>
      </c>
      <c r="D430" t="s">
        <v>91</v>
      </c>
      <c r="E430" t="s">
        <v>225</v>
      </c>
      <c r="F430">
        <v>4</v>
      </c>
      <c r="G430" s="3">
        <v>0</v>
      </c>
      <c r="H430" t="s">
        <v>53</v>
      </c>
      <c r="I430" t="s">
        <v>54</v>
      </c>
      <c r="J430" t="s">
        <v>36</v>
      </c>
    </row>
    <row r="431" spans="1:10" x14ac:dyDescent="0.45">
      <c r="A431" t="s">
        <v>834</v>
      </c>
      <c r="B431" s="2">
        <v>45806</v>
      </c>
      <c r="C431" t="s">
        <v>835</v>
      </c>
      <c r="D431" t="s">
        <v>238</v>
      </c>
      <c r="E431" t="s">
        <v>25</v>
      </c>
      <c r="F431">
        <v>11</v>
      </c>
      <c r="G431" s="3">
        <v>0.05</v>
      </c>
      <c r="H431" t="s">
        <v>14</v>
      </c>
      <c r="I431" t="s">
        <v>54</v>
      </c>
      <c r="J431" t="s">
        <v>21</v>
      </c>
    </row>
    <row r="432" spans="1:10" x14ac:dyDescent="0.45">
      <c r="A432" t="s">
        <v>836</v>
      </c>
      <c r="B432" s="2">
        <v>46143</v>
      </c>
      <c r="C432" t="s">
        <v>817</v>
      </c>
      <c r="D432" t="s">
        <v>449</v>
      </c>
      <c r="E432" t="s">
        <v>225</v>
      </c>
      <c r="F432">
        <v>7</v>
      </c>
      <c r="G432" s="3">
        <v>0</v>
      </c>
      <c r="H432" t="s">
        <v>14</v>
      </c>
      <c r="I432" t="s">
        <v>54</v>
      </c>
      <c r="J432" t="s">
        <v>59</v>
      </c>
    </row>
    <row r="433" spans="1:10" x14ac:dyDescent="0.45">
      <c r="A433" t="s">
        <v>837</v>
      </c>
      <c r="B433" s="2">
        <v>45678</v>
      </c>
      <c r="C433" t="s">
        <v>670</v>
      </c>
      <c r="D433" t="s">
        <v>210</v>
      </c>
      <c r="E433" t="s">
        <v>47</v>
      </c>
      <c r="F433">
        <v>8</v>
      </c>
      <c r="G433" s="3">
        <v>0.05</v>
      </c>
      <c r="H433" t="s">
        <v>14</v>
      </c>
      <c r="I433" t="s">
        <v>15</v>
      </c>
      <c r="J433" t="s">
        <v>21</v>
      </c>
    </row>
    <row r="434" spans="1:10" x14ac:dyDescent="0.45">
      <c r="A434" t="s">
        <v>838</v>
      </c>
      <c r="B434" s="2">
        <v>46100</v>
      </c>
      <c r="C434" t="s">
        <v>839</v>
      </c>
      <c r="D434" t="s">
        <v>12</v>
      </c>
      <c r="E434" t="s">
        <v>25</v>
      </c>
      <c r="F434">
        <v>7</v>
      </c>
      <c r="G434" s="3">
        <v>0.2</v>
      </c>
      <c r="H434" t="s">
        <v>53</v>
      </c>
      <c r="I434" t="s">
        <v>27</v>
      </c>
      <c r="J434" t="s">
        <v>21</v>
      </c>
    </row>
    <row r="435" spans="1:10" x14ac:dyDescent="0.45">
      <c r="A435" t="s">
        <v>840</v>
      </c>
      <c r="B435" s="2">
        <v>46157</v>
      </c>
      <c r="C435" t="s">
        <v>841</v>
      </c>
      <c r="D435" t="s">
        <v>210</v>
      </c>
      <c r="E435" t="s">
        <v>140</v>
      </c>
      <c r="F435">
        <v>4</v>
      </c>
      <c r="G435" s="3">
        <v>0</v>
      </c>
      <c r="H435" t="s">
        <v>14</v>
      </c>
      <c r="I435" t="s">
        <v>15</v>
      </c>
      <c r="J435" t="s">
        <v>21</v>
      </c>
    </row>
    <row r="436" spans="1:10" x14ac:dyDescent="0.45">
      <c r="A436" t="s">
        <v>842</v>
      </c>
      <c r="B436" s="2">
        <v>46085</v>
      </c>
      <c r="C436" t="s">
        <v>622</v>
      </c>
      <c r="D436" t="s">
        <v>277</v>
      </c>
      <c r="E436" t="s">
        <v>152</v>
      </c>
      <c r="F436">
        <v>8</v>
      </c>
      <c r="G436" s="3">
        <v>0</v>
      </c>
      <c r="H436" t="s">
        <v>14</v>
      </c>
      <c r="I436" t="s">
        <v>27</v>
      </c>
      <c r="J436" t="s">
        <v>21</v>
      </c>
    </row>
    <row r="437" spans="1:10" x14ac:dyDescent="0.45">
      <c r="A437" t="s">
        <v>843</v>
      </c>
      <c r="B437" s="2">
        <v>45952</v>
      </c>
      <c r="C437" t="s">
        <v>844</v>
      </c>
      <c r="D437" t="s">
        <v>217</v>
      </c>
      <c r="E437" t="s">
        <v>144</v>
      </c>
      <c r="F437">
        <v>12</v>
      </c>
      <c r="G437" s="3">
        <v>0.05</v>
      </c>
      <c r="H437" t="s">
        <v>14</v>
      </c>
      <c r="I437" t="s">
        <v>15</v>
      </c>
      <c r="J437" t="s">
        <v>21</v>
      </c>
    </row>
    <row r="438" spans="1:10" x14ac:dyDescent="0.45">
      <c r="A438" t="s">
        <v>845</v>
      </c>
      <c r="B438" s="2">
        <v>46005</v>
      </c>
      <c r="C438" t="s">
        <v>334</v>
      </c>
      <c r="D438" t="s">
        <v>191</v>
      </c>
      <c r="E438" t="s">
        <v>20</v>
      </c>
      <c r="F438">
        <v>10</v>
      </c>
      <c r="G438" s="3">
        <v>0.2</v>
      </c>
      <c r="H438" t="s">
        <v>14</v>
      </c>
      <c r="I438" t="s">
        <v>27</v>
      </c>
      <c r="J438" t="s">
        <v>59</v>
      </c>
    </row>
    <row r="439" spans="1:10" x14ac:dyDescent="0.45">
      <c r="A439" t="s">
        <v>846</v>
      </c>
      <c r="B439" s="2">
        <v>46026</v>
      </c>
      <c r="C439" t="s">
        <v>154</v>
      </c>
      <c r="D439" t="s">
        <v>230</v>
      </c>
      <c r="E439" t="s">
        <v>20</v>
      </c>
      <c r="F439">
        <v>8</v>
      </c>
      <c r="G439" s="3">
        <v>0.03</v>
      </c>
      <c r="H439" t="s">
        <v>53</v>
      </c>
      <c r="I439" t="s">
        <v>27</v>
      </c>
      <c r="J439" t="s">
        <v>59</v>
      </c>
    </row>
    <row r="440" spans="1:10" x14ac:dyDescent="0.45">
      <c r="A440" t="s">
        <v>847</v>
      </c>
      <c r="B440" s="2">
        <v>45835</v>
      </c>
      <c r="C440" t="s">
        <v>833</v>
      </c>
      <c r="D440" t="s">
        <v>238</v>
      </c>
      <c r="E440" t="s">
        <v>225</v>
      </c>
      <c r="F440">
        <v>4</v>
      </c>
      <c r="G440" s="3">
        <v>0.03</v>
      </c>
      <c r="H440" t="s">
        <v>53</v>
      </c>
      <c r="I440" t="s">
        <v>48</v>
      </c>
      <c r="J440" t="s">
        <v>16</v>
      </c>
    </row>
    <row r="441" spans="1:10" x14ac:dyDescent="0.45">
      <c r="A441" t="s">
        <v>848</v>
      </c>
      <c r="B441" s="2">
        <v>45872</v>
      </c>
      <c r="C441" t="s">
        <v>712</v>
      </c>
      <c r="D441" t="s">
        <v>391</v>
      </c>
      <c r="E441" t="s">
        <v>218</v>
      </c>
      <c r="F441">
        <v>9</v>
      </c>
      <c r="G441" s="3">
        <v>0</v>
      </c>
      <c r="H441" t="s">
        <v>26</v>
      </c>
      <c r="I441" t="s">
        <v>27</v>
      </c>
      <c r="J441" t="s">
        <v>36</v>
      </c>
    </row>
    <row r="442" spans="1:10" x14ac:dyDescent="0.45">
      <c r="A442" t="s">
        <v>849</v>
      </c>
      <c r="B442" s="2">
        <v>46173</v>
      </c>
      <c r="C442" t="s">
        <v>175</v>
      </c>
      <c r="D442" t="s">
        <v>100</v>
      </c>
      <c r="E442" t="s">
        <v>144</v>
      </c>
      <c r="F442">
        <v>1</v>
      </c>
      <c r="G442" s="3">
        <v>0</v>
      </c>
      <c r="H442" t="s">
        <v>14</v>
      </c>
      <c r="I442" t="s">
        <v>48</v>
      </c>
      <c r="J442" t="s">
        <v>21</v>
      </c>
    </row>
    <row r="443" spans="1:10" x14ac:dyDescent="0.45">
      <c r="A443" t="s">
        <v>850</v>
      </c>
      <c r="B443" s="2">
        <v>46156</v>
      </c>
      <c r="C443" t="s">
        <v>595</v>
      </c>
      <c r="D443" t="s">
        <v>502</v>
      </c>
      <c r="E443" t="s">
        <v>218</v>
      </c>
      <c r="F443">
        <v>5</v>
      </c>
      <c r="G443" s="3">
        <v>0.1</v>
      </c>
      <c r="H443" t="s">
        <v>53</v>
      </c>
      <c r="I443" t="s">
        <v>48</v>
      </c>
      <c r="J443" t="s">
        <v>16</v>
      </c>
    </row>
    <row r="444" spans="1:10" x14ac:dyDescent="0.45">
      <c r="A444" t="s">
        <v>851</v>
      </c>
      <c r="B444" s="2">
        <v>46185</v>
      </c>
      <c r="C444" t="s">
        <v>33</v>
      </c>
      <c r="D444" t="s">
        <v>312</v>
      </c>
      <c r="E444" t="s">
        <v>225</v>
      </c>
      <c r="F444">
        <v>10</v>
      </c>
      <c r="G444" s="3">
        <v>0</v>
      </c>
      <c r="H444" t="s">
        <v>53</v>
      </c>
      <c r="I444" t="s">
        <v>15</v>
      </c>
      <c r="J444" t="s">
        <v>16</v>
      </c>
    </row>
    <row r="445" spans="1:10" x14ac:dyDescent="0.45">
      <c r="A445" t="s">
        <v>852</v>
      </c>
      <c r="B445" s="2">
        <v>45762</v>
      </c>
      <c r="C445" t="s">
        <v>675</v>
      </c>
      <c r="D445" t="s">
        <v>646</v>
      </c>
      <c r="E445" t="s">
        <v>31</v>
      </c>
      <c r="F445">
        <v>9</v>
      </c>
      <c r="G445" s="3">
        <v>0</v>
      </c>
      <c r="H445" t="s">
        <v>14</v>
      </c>
      <c r="I445" t="s">
        <v>54</v>
      </c>
      <c r="J445" t="s">
        <v>21</v>
      </c>
    </row>
    <row r="446" spans="1:10" x14ac:dyDescent="0.45">
      <c r="A446" t="s">
        <v>853</v>
      </c>
      <c r="B446" s="2">
        <v>45957</v>
      </c>
      <c r="C446" t="s">
        <v>601</v>
      </c>
      <c r="D446" t="s">
        <v>202</v>
      </c>
      <c r="E446" t="s">
        <v>144</v>
      </c>
      <c r="F446">
        <v>12</v>
      </c>
      <c r="G446" s="3">
        <v>0.2</v>
      </c>
      <c r="H446" t="s">
        <v>53</v>
      </c>
      <c r="I446" t="s">
        <v>15</v>
      </c>
      <c r="J446" t="s">
        <v>59</v>
      </c>
    </row>
    <row r="447" spans="1:10" x14ac:dyDescent="0.45">
      <c r="A447" t="s">
        <v>854</v>
      </c>
      <c r="B447" s="2">
        <v>46030</v>
      </c>
      <c r="C447" t="s">
        <v>855</v>
      </c>
      <c r="D447" t="s">
        <v>246</v>
      </c>
      <c r="E447" t="s">
        <v>25</v>
      </c>
      <c r="F447">
        <v>6</v>
      </c>
      <c r="G447" s="3">
        <v>0.03</v>
      </c>
      <c r="H447" t="s">
        <v>14</v>
      </c>
      <c r="I447" t="s">
        <v>54</v>
      </c>
      <c r="J447" t="s">
        <v>21</v>
      </c>
    </row>
    <row r="448" spans="1:10" x14ac:dyDescent="0.45">
      <c r="A448" t="s">
        <v>856</v>
      </c>
      <c r="B448" s="2">
        <v>46143</v>
      </c>
      <c r="C448" t="s">
        <v>214</v>
      </c>
      <c r="D448" t="s">
        <v>256</v>
      </c>
      <c r="E448" t="s">
        <v>218</v>
      </c>
      <c r="F448">
        <v>6</v>
      </c>
      <c r="G448" s="3">
        <v>0.08</v>
      </c>
      <c r="H448" t="s">
        <v>14</v>
      </c>
      <c r="I448" t="s">
        <v>48</v>
      </c>
      <c r="J448" t="s">
        <v>21</v>
      </c>
    </row>
    <row r="449" spans="1:10" x14ac:dyDescent="0.45">
      <c r="A449" t="s">
        <v>857</v>
      </c>
      <c r="B449" s="2">
        <v>45909</v>
      </c>
      <c r="C449" t="s">
        <v>706</v>
      </c>
      <c r="D449" t="s">
        <v>230</v>
      </c>
      <c r="E449" t="s">
        <v>58</v>
      </c>
      <c r="F449">
        <v>3</v>
      </c>
      <c r="G449" s="3">
        <v>0.15</v>
      </c>
      <c r="H449" t="s">
        <v>53</v>
      </c>
      <c r="I449" t="s">
        <v>54</v>
      </c>
      <c r="J449" t="s">
        <v>16</v>
      </c>
    </row>
    <row r="450" spans="1:10" x14ac:dyDescent="0.45">
      <c r="A450" t="s">
        <v>858</v>
      </c>
      <c r="B450" s="2">
        <v>46186</v>
      </c>
      <c r="C450" t="s">
        <v>50</v>
      </c>
      <c r="D450" t="s">
        <v>68</v>
      </c>
      <c r="E450" t="s">
        <v>85</v>
      </c>
      <c r="F450">
        <v>11</v>
      </c>
      <c r="G450" s="3">
        <v>0.1</v>
      </c>
      <c r="H450" t="s">
        <v>26</v>
      </c>
      <c r="I450" t="s">
        <v>15</v>
      </c>
      <c r="J450" t="s">
        <v>21</v>
      </c>
    </row>
    <row r="451" spans="1:10" x14ac:dyDescent="0.45">
      <c r="A451" t="s">
        <v>859</v>
      </c>
      <c r="B451" s="2">
        <v>45744</v>
      </c>
      <c r="C451" t="s">
        <v>328</v>
      </c>
      <c r="D451" t="s">
        <v>126</v>
      </c>
      <c r="E451" t="s">
        <v>127</v>
      </c>
      <c r="F451">
        <v>6</v>
      </c>
      <c r="G451" s="3">
        <v>0.1</v>
      </c>
      <c r="H451" t="s">
        <v>14</v>
      </c>
      <c r="I451" t="s">
        <v>54</v>
      </c>
      <c r="J451" t="s">
        <v>21</v>
      </c>
    </row>
    <row r="452" spans="1:10" x14ac:dyDescent="0.45">
      <c r="A452" t="s">
        <v>860</v>
      </c>
      <c r="B452" s="2">
        <v>45812</v>
      </c>
      <c r="C452" t="s">
        <v>861</v>
      </c>
      <c r="D452" t="s">
        <v>51</v>
      </c>
      <c r="E452" t="s">
        <v>20</v>
      </c>
      <c r="F452">
        <v>10</v>
      </c>
      <c r="G452" s="3">
        <v>0</v>
      </c>
      <c r="H452" t="s">
        <v>26</v>
      </c>
      <c r="I452" t="s">
        <v>27</v>
      </c>
      <c r="J452" t="s">
        <v>21</v>
      </c>
    </row>
    <row r="453" spans="1:10" x14ac:dyDescent="0.45">
      <c r="A453" t="s">
        <v>862</v>
      </c>
      <c r="B453" s="2">
        <v>45979</v>
      </c>
      <c r="C453" t="s">
        <v>863</v>
      </c>
      <c r="D453" t="s">
        <v>43</v>
      </c>
      <c r="E453" t="s">
        <v>101</v>
      </c>
      <c r="F453">
        <v>6</v>
      </c>
      <c r="G453" s="3">
        <v>0</v>
      </c>
      <c r="H453" t="s">
        <v>53</v>
      </c>
      <c r="I453" t="s">
        <v>54</v>
      </c>
      <c r="J453" t="s">
        <v>59</v>
      </c>
    </row>
    <row r="454" spans="1:10" x14ac:dyDescent="0.45">
      <c r="A454" t="s">
        <v>864</v>
      </c>
      <c r="B454" s="2">
        <v>46110</v>
      </c>
      <c r="C454" t="s">
        <v>253</v>
      </c>
      <c r="D454" t="s">
        <v>249</v>
      </c>
      <c r="E454" t="s">
        <v>52</v>
      </c>
      <c r="F454">
        <v>12</v>
      </c>
      <c r="G454" s="3">
        <v>0.1</v>
      </c>
      <c r="H454" t="s">
        <v>53</v>
      </c>
      <c r="I454" t="s">
        <v>15</v>
      </c>
      <c r="J454" t="s">
        <v>16</v>
      </c>
    </row>
    <row r="455" spans="1:10" x14ac:dyDescent="0.45">
      <c r="A455" t="s">
        <v>865</v>
      </c>
      <c r="B455" s="2">
        <v>46000</v>
      </c>
      <c r="C455" t="s">
        <v>677</v>
      </c>
      <c r="D455" t="s">
        <v>241</v>
      </c>
      <c r="E455" t="s">
        <v>35</v>
      </c>
      <c r="F455">
        <v>7</v>
      </c>
      <c r="G455" s="3">
        <v>0.03</v>
      </c>
      <c r="H455" t="s">
        <v>14</v>
      </c>
      <c r="I455" t="s">
        <v>27</v>
      </c>
      <c r="J455" t="s">
        <v>21</v>
      </c>
    </row>
    <row r="456" spans="1:10" x14ac:dyDescent="0.45">
      <c r="A456" t="s">
        <v>866</v>
      </c>
      <c r="B456" s="2">
        <v>46191</v>
      </c>
      <c r="C456" t="s">
        <v>666</v>
      </c>
      <c r="D456" t="s">
        <v>43</v>
      </c>
      <c r="E456" t="s">
        <v>101</v>
      </c>
      <c r="F456">
        <v>6</v>
      </c>
      <c r="G456" s="3">
        <v>0.03</v>
      </c>
      <c r="H456" t="s">
        <v>14</v>
      </c>
      <c r="I456" t="s">
        <v>27</v>
      </c>
      <c r="J456" t="s">
        <v>21</v>
      </c>
    </row>
    <row r="457" spans="1:10" x14ac:dyDescent="0.45">
      <c r="A457" t="s">
        <v>867</v>
      </c>
      <c r="B457" s="2">
        <v>46090</v>
      </c>
      <c r="C457" t="s">
        <v>123</v>
      </c>
      <c r="D457" t="s">
        <v>391</v>
      </c>
      <c r="E457" t="s">
        <v>111</v>
      </c>
      <c r="F457">
        <v>9</v>
      </c>
      <c r="G457" s="3">
        <v>0</v>
      </c>
      <c r="H457" t="s">
        <v>53</v>
      </c>
      <c r="I457" t="s">
        <v>27</v>
      </c>
      <c r="J457" t="s">
        <v>21</v>
      </c>
    </row>
    <row r="458" spans="1:10" x14ac:dyDescent="0.45">
      <c r="A458" t="s">
        <v>868</v>
      </c>
      <c r="B458" s="2">
        <v>45706</v>
      </c>
      <c r="C458" t="s">
        <v>269</v>
      </c>
      <c r="D458" t="s">
        <v>158</v>
      </c>
      <c r="E458" t="s">
        <v>31</v>
      </c>
      <c r="F458">
        <v>11</v>
      </c>
      <c r="G458" s="3">
        <v>0</v>
      </c>
      <c r="H458" t="s">
        <v>14</v>
      </c>
      <c r="I458" t="s">
        <v>48</v>
      </c>
      <c r="J458" t="s">
        <v>21</v>
      </c>
    </row>
    <row r="459" spans="1:10" x14ac:dyDescent="0.45">
      <c r="A459" t="s">
        <v>869</v>
      </c>
      <c r="B459" s="2">
        <v>45897</v>
      </c>
      <c r="C459" t="s">
        <v>870</v>
      </c>
      <c r="D459" t="s">
        <v>78</v>
      </c>
      <c r="E459" t="s">
        <v>197</v>
      </c>
      <c r="F459">
        <v>6</v>
      </c>
      <c r="G459" s="3">
        <v>0.08</v>
      </c>
      <c r="H459" t="s">
        <v>14</v>
      </c>
      <c r="I459" t="s">
        <v>54</v>
      </c>
      <c r="J459" t="s">
        <v>59</v>
      </c>
    </row>
    <row r="460" spans="1:10" x14ac:dyDescent="0.45">
      <c r="A460" t="s">
        <v>871</v>
      </c>
      <c r="B460" s="2">
        <v>45993</v>
      </c>
      <c r="C460" t="s">
        <v>204</v>
      </c>
      <c r="D460" t="s">
        <v>410</v>
      </c>
      <c r="E460" t="s">
        <v>31</v>
      </c>
      <c r="F460">
        <v>9</v>
      </c>
      <c r="G460" s="3">
        <v>0.05</v>
      </c>
      <c r="H460" t="s">
        <v>53</v>
      </c>
      <c r="I460" t="s">
        <v>27</v>
      </c>
      <c r="J460" t="s">
        <v>21</v>
      </c>
    </row>
    <row r="461" spans="1:10" x14ac:dyDescent="0.45">
      <c r="A461" t="s">
        <v>872</v>
      </c>
      <c r="B461" s="2">
        <v>45741</v>
      </c>
      <c r="C461" t="s">
        <v>220</v>
      </c>
      <c r="D461" t="s">
        <v>295</v>
      </c>
      <c r="E461" t="s">
        <v>13</v>
      </c>
      <c r="F461">
        <v>2</v>
      </c>
      <c r="G461" s="3">
        <v>0</v>
      </c>
      <c r="H461" t="s">
        <v>14</v>
      </c>
      <c r="I461" t="s">
        <v>54</v>
      </c>
      <c r="J461" t="s">
        <v>21</v>
      </c>
    </row>
    <row r="462" spans="1:10" x14ac:dyDescent="0.45">
      <c r="A462" t="s">
        <v>873</v>
      </c>
      <c r="B462" s="2">
        <v>46196</v>
      </c>
      <c r="C462" t="s">
        <v>253</v>
      </c>
      <c r="D462" t="s">
        <v>39</v>
      </c>
      <c r="E462" t="s">
        <v>58</v>
      </c>
      <c r="F462">
        <v>7</v>
      </c>
      <c r="G462" s="3">
        <v>0.15</v>
      </c>
      <c r="H462" t="s">
        <v>53</v>
      </c>
      <c r="I462" t="s">
        <v>15</v>
      </c>
      <c r="J462" t="s">
        <v>21</v>
      </c>
    </row>
    <row r="463" spans="1:10" x14ac:dyDescent="0.45">
      <c r="A463" t="s">
        <v>874</v>
      </c>
      <c r="B463" s="2">
        <v>46084</v>
      </c>
      <c r="C463" t="s">
        <v>408</v>
      </c>
      <c r="D463" t="s">
        <v>210</v>
      </c>
      <c r="E463" t="s">
        <v>111</v>
      </c>
      <c r="F463">
        <v>3</v>
      </c>
      <c r="G463" s="3">
        <v>0.03</v>
      </c>
      <c r="H463" t="s">
        <v>14</v>
      </c>
      <c r="I463" t="s">
        <v>15</v>
      </c>
      <c r="J463" t="s">
        <v>59</v>
      </c>
    </row>
    <row r="464" spans="1:10" x14ac:dyDescent="0.45">
      <c r="A464" t="s">
        <v>875</v>
      </c>
      <c r="B464" s="2">
        <v>45778</v>
      </c>
      <c r="C464" t="s">
        <v>876</v>
      </c>
      <c r="D464" t="s">
        <v>118</v>
      </c>
      <c r="E464" t="s">
        <v>140</v>
      </c>
      <c r="F464">
        <v>12</v>
      </c>
      <c r="G464" s="3">
        <v>0.05</v>
      </c>
      <c r="H464" t="s">
        <v>14</v>
      </c>
      <c r="I464" t="s">
        <v>48</v>
      </c>
      <c r="J464" t="s">
        <v>59</v>
      </c>
    </row>
    <row r="465" spans="1:10" x14ac:dyDescent="0.45">
      <c r="A465" t="s">
        <v>877</v>
      </c>
      <c r="B465" s="2">
        <v>46076</v>
      </c>
      <c r="C465" t="s">
        <v>878</v>
      </c>
      <c r="D465" t="s">
        <v>139</v>
      </c>
      <c r="E465" t="s">
        <v>31</v>
      </c>
      <c r="F465">
        <v>2</v>
      </c>
      <c r="G465" s="3">
        <v>0</v>
      </c>
      <c r="H465" t="s">
        <v>14</v>
      </c>
      <c r="I465" t="s">
        <v>27</v>
      </c>
      <c r="J465" t="s">
        <v>21</v>
      </c>
    </row>
    <row r="466" spans="1:10" x14ac:dyDescent="0.45">
      <c r="A466" t="s">
        <v>879</v>
      </c>
      <c r="B466" s="2">
        <v>45970</v>
      </c>
      <c r="C466" t="s">
        <v>535</v>
      </c>
      <c r="D466" t="s">
        <v>155</v>
      </c>
      <c r="E466" t="s">
        <v>58</v>
      </c>
      <c r="F466">
        <v>6</v>
      </c>
      <c r="G466" s="3">
        <v>0.08</v>
      </c>
      <c r="H466" t="s">
        <v>14</v>
      </c>
      <c r="I466" t="s">
        <v>48</v>
      </c>
      <c r="J466" t="s">
        <v>16</v>
      </c>
    </row>
    <row r="467" spans="1:10" x14ac:dyDescent="0.45">
      <c r="A467" t="s">
        <v>880</v>
      </c>
      <c r="B467" s="2">
        <v>45707</v>
      </c>
      <c r="C467" t="s">
        <v>448</v>
      </c>
      <c r="D467" t="s">
        <v>191</v>
      </c>
      <c r="E467" t="s">
        <v>13</v>
      </c>
      <c r="F467">
        <v>5</v>
      </c>
      <c r="G467" s="3">
        <v>0.08</v>
      </c>
      <c r="H467" t="s">
        <v>14</v>
      </c>
      <c r="I467" t="s">
        <v>15</v>
      </c>
      <c r="J467" t="s">
        <v>21</v>
      </c>
    </row>
    <row r="468" spans="1:10" x14ac:dyDescent="0.45">
      <c r="A468" t="s">
        <v>881</v>
      </c>
      <c r="B468" s="2">
        <v>45703</v>
      </c>
      <c r="C468" t="s">
        <v>87</v>
      </c>
      <c r="D468" t="s">
        <v>170</v>
      </c>
      <c r="E468" t="s">
        <v>127</v>
      </c>
      <c r="F468">
        <v>7</v>
      </c>
      <c r="G468" s="3">
        <v>0.2</v>
      </c>
      <c r="H468" t="s">
        <v>14</v>
      </c>
      <c r="I468" t="s">
        <v>15</v>
      </c>
      <c r="J468" t="s">
        <v>36</v>
      </c>
    </row>
    <row r="469" spans="1:10" x14ac:dyDescent="0.45">
      <c r="A469" t="s">
        <v>882</v>
      </c>
      <c r="B469" s="2">
        <v>45793</v>
      </c>
      <c r="C469" t="s">
        <v>70</v>
      </c>
      <c r="D469" t="s">
        <v>161</v>
      </c>
      <c r="E469" t="s">
        <v>47</v>
      </c>
      <c r="F469">
        <v>3</v>
      </c>
      <c r="G469" s="3">
        <v>0.2</v>
      </c>
      <c r="H469" t="s">
        <v>53</v>
      </c>
      <c r="I469" t="s">
        <v>15</v>
      </c>
      <c r="J469" t="s">
        <v>21</v>
      </c>
    </row>
    <row r="470" spans="1:10" x14ac:dyDescent="0.45">
      <c r="A470" t="s">
        <v>883</v>
      </c>
      <c r="B470" s="2">
        <v>46077</v>
      </c>
      <c r="C470" t="s">
        <v>223</v>
      </c>
      <c r="D470" t="s">
        <v>135</v>
      </c>
      <c r="E470" t="s">
        <v>127</v>
      </c>
      <c r="F470">
        <v>7</v>
      </c>
      <c r="G470" s="3">
        <v>0.05</v>
      </c>
      <c r="H470" t="s">
        <v>26</v>
      </c>
      <c r="I470" t="s">
        <v>27</v>
      </c>
      <c r="J470" t="s">
        <v>21</v>
      </c>
    </row>
    <row r="471" spans="1:10" x14ac:dyDescent="0.45">
      <c r="A471" t="s">
        <v>884</v>
      </c>
      <c r="B471" s="2">
        <v>45942</v>
      </c>
      <c r="C471" t="s">
        <v>510</v>
      </c>
      <c r="D471" t="s">
        <v>500</v>
      </c>
      <c r="E471" t="s">
        <v>111</v>
      </c>
      <c r="F471">
        <v>11</v>
      </c>
      <c r="G471" s="3">
        <v>0</v>
      </c>
      <c r="H471" t="s">
        <v>53</v>
      </c>
      <c r="I471" t="s">
        <v>48</v>
      </c>
      <c r="J471" t="s">
        <v>21</v>
      </c>
    </row>
    <row r="472" spans="1:10" x14ac:dyDescent="0.45">
      <c r="A472" t="s">
        <v>885</v>
      </c>
      <c r="B472" s="2">
        <v>45784</v>
      </c>
      <c r="C472" t="s">
        <v>163</v>
      </c>
      <c r="D472" t="s">
        <v>320</v>
      </c>
      <c r="E472" t="s">
        <v>52</v>
      </c>
      <c r="F472">
        <v>11</v>
      </c>
      <c r="G472" s="3">
        <v>0</v>
      </c>
      <c r="H472" t="s">
        <v>14</v>
      </c>
      <c r="I472" t="s">
        <v>48</v>
      </c>
      <c r="J472" t="s">
        <v>107</v>
      </c>
    </row>
    <row r="473" spans="1:10" x14ac:dyDescent="0.45">
      <c r="A473" t="s">
        <v>886</v>
      </c>
      <c r="B473" s="2">
        <v>46145</v>
      </c>
      <c r="C473" t="s">
        <v>96</v>
      </c>
      <c r="D473" t="s">
        <v>71</v>
      </c>
      <c r="E473" t="s">
        <v>40</v>
      </c>
      <c r="F473">
        <v>9</v>
      </c>
      <c r="G473" s="3">
        <v>0</v>
      </c>
      <c r="H473" t="s">
        <v>14</v>
      </c>
      <c r="I473" t="s">
        <v>54</v>
      </c>
      <c r="J473" t="s">
        <v>107</v>
      </c>
    </row>
    <row r="474" spans="1:10" x14ac:dyDescent="0.45">
      <c r="A474" t="s">
        <v>887</v>
      </c>
      <c r="B474" s="2">
        <v>46112</v>
      </c>
      <c r="C474" t="s">
        <v>469</v>
      </c>
      <c r="D474" t="s">
        <v>249</v>
      </c>
      <c r="E474" t="s">
        <v>218</v>
      </c>
      <c r="F474">
        <v>2</v>
      </c>
      <c r="G474" s="3">
        <v>0.1</v>
      </c>
      <c r="H474" t="s">
        <v>14</v>
      </c>
      <c r="I474" t="s">
        <v>48</v>
      </c>
      <c r="J474" t="s">
        <v>21</v>
      </c>
    </row>
    <row r="475" spans="1:10" x14ac:dyDescent="0.45">
      <c r="A475" t="s">
        <v>888</v>
      </c>
      <c r="B475" s="2">
        <v>45842</v>
      </c>
      <c r="C475" t="s">
        <v>781</v>
      </c>
      <c r="D475" t="s">
        <v>57</v>
      </c>
      <c r="E475" t="s">
        <v>13</v>
      </c>
      <c r="F475">
        <v>7</v>
      </c>
      <c r="G475" s="3">
        <v>0</v>
      </c>
      <c r="H475" t="s">
        <v>53</v>
      </c>
      <c r="I475" t="s">
        <v>27</v>
      </c>
      <c r="J475" t="s">
        <v>21</v>
      </c>
    </row>
    <row r="476" spans="1:10" x14ac:dyDescent="0.45">
      <c r="A476" t="s">
        <v>889</v>
      </c>
      <c r="B476" s="2">
        <v>45830</v>
      </c>
      <c r="C476" t="s">
        <v>890</v>
      </c>
      <c r="D476" t="s">
        <v>646</v>
      </c>
      <c r="E476" t="s">
        <v>31</v>
      </c>
      <c r="F476">
        <v>5</v>
      </c>
      <c r="G476" s="3">
        <v>0.03</v>
      </c>
      <c r="H476" t="s">
        <v>14</v>
      </c>
      <c r="I476" t="s">
        <v>48</v>
      </c>
      <c r="J476" t="s">
        <v>21</v>
      </c>
    </row>
    <row r="477" spans="1:10" x14ac:dyDescent="0.45">
      <c r="A477" t="s">
        <v>891</v>
      </c>
      <c r="B477" s="2">
        <v>45991</v>
      </c>
      <c r="C477" t="s">
        <v>714</v>
      </c>
      <c r="D477" t="s">
        <v>179</v>
      </c>
      <c r="E477" t="s">
        <v>35</v>
      </c>
      <c r="F477">
        <v>3</v>
      </c>
      <c r="G477" s="3">
        <v>0</v>
      </c>
      <c r="H477" t="s">
        <v>53</v>
      </c>
      <c r="I477" t="s">
        <v>27</v>
      </c>
      <c r="J477" t="s">
        <v>21</v>
      </c>
    </row>
    <row r="478" spans="1:10" x14ac:dyDescent="0.45">
      <c r="A478" t="s">
        <v>892</v>
      </c>
      <c r="B478" s="2">
        <v>45989</v>
      </c>
      <c r="C478" t="s">
        <v>893</v>
      </c>
      <c r="D478" t="s">
        <v>167</v>
      </c>
      <c r="E478" t="s">
        <v>13</v>
      </c>
      <c r="F478">
        <v>5</v>
      </c>
      <c r="G478" s="3">
        <v>0.15</v>
      </c>
      <c r="H478" t="s">
        <v>26</v>
      </c>
      <c r="I478" t="s">
        <v>48</v>
      </c>
      <c r="J478" t="s">
        <v>21</v>
      </c>
    </row>
    <row r="479" spans="1:10" x14ac:dyDescent="0.45">
      <c r="A479" t="s">
        <v>894</v>
      </c>
      <c r="B479" s="2">
        <v>45900</v>
      </c>
      <c r="C479" t="s">
        <v>630</v>
      </c>
      <c r="D479" t="s">
        <v>81</v>
      </c>
      <c r="E479" t="s">
        <v>197</v>
      </c>
      <c r="F479">
        <v>8</v>
      </c>
      <c r="G479" s="3">
        <v>0.15</v>
      </c>
      <c r="H479" t="s">
        <v>26</v>
      </c>
      <c r="I479" t="s">
        <v>27</v>
      </c>
      <c r="J479" t="s">
        <v>21</v>
      </c>
    </row>
    <row r="480" spans="1:10" x14ac:dyDescent="0.45">
      <c r="A480" t="s">
        <v>895</v>
      </c>
      <c r="B480" s="2">
        <v>45725</v>
      </c>
      <c r="C480" t="s">
        <v>896</v>
      </c>
      <c r="D480" t="s">
        <v>43</v>
      </c>
      <c r="E480" t="s">
        <v>13</v>
      </c>
      <c r="F480">
        <v>8</v>
      </c>
      <c r="G480" s="3">
        <v>0</v>
      </c>
      <c r="H480" t="s">
        <v>14</v>
      </c>
      <c r="I480" t="s">
        <v>54</v>
      </c>
      <c r="J480" t="s">
        <v>36</v>
      </c>
    </row>
    <row r="481" spans="1:10" x14ac:dyDescent="0.45">
      <c r="A481" t="s">
        <v>897</v>
      </c>
      <c r="B481" s="2">
        <v>45761</v>
      </c>
      <c r="C481" t="s">
        <v>363</v>
      </c>
      <c r="D481" t="s">
        <v>312</v>
      </c>
      <c r="E481" t="s">
        <v>52</v>
      </c>
      <c r="F481">
        <v>4</v>
      </c>
      <c r="G481" s="3">
        <v>0.03</v>
      </c>
      <c r="H481" t="s">
        <v>14</v>
      </c>
      <c r="I481" t="s">
        <v>15</v>
      </c>
      <c r="J481" t="s">
        <v>21</v>
      </c>
    </row>
    <row r="482" spans="1:10" x14ac:dyDescent="0.45">
      <c r="A482" t="s">
        <v>898</v>
      </c>
      <c r="B482" s="2">
        <v>45803</v>
      </c>
      <c r="C482" t="s">
        <v>255</v>
      </c>
      <c r="D482" t="s">
        <v>233</v>
      </c>
      <c r="E482" t="s">
        <v>115</v>
      </c>
      <c r="F482">
        <v>6</v>
      </c>
      <c r="G482" s="3">
        <v>0.03</v>
      </c>
      <c r="H482" t="s">
        <v>53</v>
      </c>
      <c r="I482" t="s">
        <v>15</v>
      </c>
      <c r="J482" t="s">
        <v>107</v>
      </c>
    </row>
    <row r="483" spans="1:10" x14ac:dyDescent="0.45">
      <c r="A483" t="s">
        <v>899</v>
      </c>
      <c r="B483" s="2">
        <v>45659</v>
      </c>
      <c r="C483" t="s">
        <v>166</v>
      </c>
      <c r="D483" t="s">
        <v>62</v>
      </c>
      <c r="E483" t="s">
        <v>35</v>
      </c>
      <c r="F483">
        <v>8</v>
      </c>
      <c r="G483" s="3">
        <v>0.08</v>
      </c>
      <c r="H483" t="s">
        <v>53</v>
      </c>
      <c r="I483" t="s">
        <v>54</v>
      </c>
      <c r="J483" t="s">
        <v>21</v>
      </c>
    </row>
    <row r="484" spans="1:10" x14ac:dyDescent="0.45">
      <c r="A484" t="s">
        <v>900</v>
      </c>
      <c r="B484" s="2">
        <v>45914</v>
      </c>
      <c r="C484" t="s">
        <v>326</v>
      </c>
      <c r="D484" t="s">
        <v>312</v>
      </c>
      <c r="E484" t="s">
        <v>82</v>
      </c>
      <c r="F484">
        <v>11</v>
      </c>
      <c r="G484" s="3">
        <v>0.15</v>
      </c>
      <c r="H484" t="s">
        <v>26</v>
      </c>
      <c r="I484" t="s">
        <v>54</v>
      </c>
      <c r="J484" t="s">
        <v>21</v>
      </c>
    </row>
    <row r="485" spans="1:10" x14ac:dyDescent="0.45">
      <c r="A485" t="s">
        <v>901</v>
      </c>
      <c r="B485" s="2">
        <v>45823</v>
      </c>
      <c r="C485" t="s">
        <v>666</v>
      </c>
      <c r="D485" t="s">
        <v>106</v>
      </c>
      <c r="E485" t="s">
        <v>35</v>
      </c>
      <c r="F485">
        <v>12</v>
      </c>
      <c r="G485" s="3">
        <v>0</v>
      </c>
      <c r="H485" t="s">
        <v>14</v>
      </c>
      <c r="I485" t="s">
        <v>15</v>
      </c>
      <c r="J485" t="s">
        <v>59</v>
      </c>
    </row>
    <row r="486" spans="1:10" x14ac:dyDescent="0.45">
      <c r="A486" t="s">
        <v>902</v>
      </c>
      <c r="B486" s="2">
        <v>46100</v>
      </c>
      <c r="C486" t="s">
        <v>903</v>
      </c>
      <c r="D486" t="s">
        <v>502</v>
      </c>
      <c r="E486" t="s">
        <v>152</v>
      </c>
      <c r="F486">
        <v>4</v>
      </c>
      <c r="G486" s="3">
        <v>0.1</v>
      </c>
      <c r="H486" t="s">
        <v>53</v>
      </c>
      <c r="I486" t="s">
        <v>27</v>
      </c>
      <c r="J486" t="s">
        <v>21</v>
      </c>
    </row>
    <row r="487" spans="1:10" x14ac:dyDescent="0.45">
      <c r="A487" t="s">
        <v>904</v>
      </c>
      <c r="B487" s="2">
        <v>45909</v>
      </c>
      <c r="C487" t="s">
        <v>132</v>
      </c>
      <c r="D487" t="s">
        <v>62</v>
      </c>
      <c r="E487" t="s">
        <v>152</v>
      </c>
      <c r="F487">
        <v>11</v>
      </c>
      <c r="G487" s="3">
        <v>0.1</v>
      </c>
      <c r="H487" t="s">
        <v>14</v>
      </c>
      <c r="I487" t="s">
        <v>15</v>
      </c>
      <c r="J487" t="s">
        <v>107</v>
      </c>
    </row>
    <row r="488" spans="1:10" x14ac:dyDescent="0.45">
      <c r="A488" t="s">
        <v>905</v>
      </c>
      <c r="B488" s="2">
        <v>45794</v>
      </c>
      <c r="C488" t="s">
        <v>811</v>
      </c>
      <c r="D488" t="s">
        <v>217</v>
      </c>
      <c r="E488" t="s">
        <v>72</v>
      </c>
      <c r="F488">
        <v>11</v>
      </c>
      <c r="G488" s="3">
        <v>0</v>
      </c>
      <c r="H488" t="s">
        <v>53</v>
      </c>
      <c r="I488" t="s">
        <v>48</v>
      </c>
      <c r="J488" t="s">
        <v>36</v>
      </c>
    </row>
    <row r="489" spans="1:10" x14ac:dyDescent="0.45">
      <c r="A489" t="s">
        <v>906</v>
      </c>
      <c r="B489" s="2">
        <v>46158</v>
      </c>
      <c r="C489" t="s">
        <v>90</v>
      </c>
      <c r="D489" t="s">
        <v>185</v>
      </c>
      <c r="E489" t="s">
        <v>13</v>
      </c>
      <c r="F489">
        <v>7</v>
      </c>
      <c r="G489" s="3">
        <v>0</v>
      </c>
      <c r="H489" t="s">
        <v>53</v>
      </c>
      <c r="I489" t="s">
        <v>48</v>
      </c>
      <c r="J489" t="s">
        <v>21</v>
      </c>
    </row>
    <row r="490" spans="1:10" x14ac:dyDescent="0.45">
      <c r="A490" t="s">
        <v>907</v>
      </c>
      <c r="B490" s="2">
        <v>45784</v>
      </c>
      <c r="C490" t="s">
        <v>267</v>
      </c>
      <c r="D490" t="s">
        <v>500</v>
      </c>
      <c r="E490" t="s">
        <v>20</v>
      </c>
      <c r="F490">
        <v>6</v>
      </c>
      <c r="G490" s="3">
        <v>0.15</v>
      </c>
      <c r="H490" t="s">
        <v>53</v>
      </c>
      <c r="I490" t="s">
        <v>27</v>
      </c>
      <c r="J490" t="s">
        <v>21</v>
      </c>
    </row>
    <row r="491" spans="1:10" x14ac:dyDescent="0.45">
      <c r="A491" t="s">
        <v>908</v>
      </c>
      <c r="B491" s="2">
        <v>46131</v>
      </c>
      <c r="C491" t="s">
        <v>909</v>
      </c>
      <c r="D491" t="s">
        <v>110</v>
      </c>
      <c r="E491" t="s">
        <v>31</v>
      </c>
      <c r="F491">
        <v>6</v>
      </c>
      <c r="G491" s="3">
        <v>0.05</v>
      </c>
      <c r="H491" t="s">
        <v>14</v>
      </c>
      <c r="I491" t="s">
        <v>54</v>
      </c>
      <c r="J491" t="s">
        <v>59</v>
      </c>
    </row>
    <row r="492" spans="1:10" x14ac:dyDescent="0.45">
      <c r="A492" t="s">
        <v>910</v>
      </c>
      <c r="B492" s="2">
        <v>46024</v>
      </c>
      <c r="C492" t="s">
        <v>355</v>
      </c>
      <c r="D492" t="s">
        <v>205</v>
      </c>
      <c r="E492" t="s">
        <v>20</v>
      </c>
      <c r="F492">
        <v>4</v>
      </c>
      <c r="G492" s="3">
        <v>0</v>
      </c>
      <c r="H492" t="s">
        <v>53</v>
      </c>
      <c r="I492" t="s">
        <v>27</v>
      </c>
      <c r="J492" t="s">
        <v>16</v>
      </c>
    </row>
    <row r="493" spans="1:10" x14ac:dyDescent="0.45">
      <c r="A493" t="s">
        <v>911</v>
      </c>
      <c r="B493" s="2">
        <v>46029</v>
      </c>
      <c r="C493" t="s">
        <v>129</v>
      </c>
      <c r="D493" t="s">
        <v>151</v>
      </c>
      <c r="E493" t="s">
        <v>47</v>
      </c>
      <c r="F493">
        <v>1</v>
      </c>
      <c r="G493" s="3">
        <v>0.08</v>
      </c>
      <c r="H493" t="s">
        <v>14</v>
      </c>
      <c r="I493" t="s">
        <v>54</v>
      </c>
      <c r="J493" t="s">
        <v>21</v>
      </c>
    </row>
    <row r="494" spans="1:10" x14ac:dyDescent="0.45">
      <c r="A494" t="s">
        <v>912</v>
      </c>
      <c r="B494" s="2">
        <v>45942</v>
      </c>
      <c r="C494" t="s">
        <v>913</v>
      </c>
      <c r="D494" t="s">
        <v>318</v>
      </c>
      <c r="E494" t="s">
        <v>31</v>
      </c>
      <c r="F494">
        <v>10</v>
      </c>
      <c r="G494" s="3">
        <v>0.2</v>
      </c>
      <c r="H494" t="s">
        <v>14</v>
      </c>
      <c r="I494" t="s">
        <v>54</v>
      </c>
      <c r="J494" t="s">
        <v>21</v>
      </c>
    </row>
    <row r="495" spans="1:10" x14ac:dyDescent="0.45">
      <c r="A495" t="s">
        <v>914</v>
      </c>
      <c r="B495" s="2">
        <v>45837</v>
      </c>
      <c r="C495" t="s">
        <v>432</v>
      </c>
      <c r="D495" t="s">
        <v>114</v>
      </c>
      <c r="E495" t="s">
        <v>197</v>
      </c>
      <c r="F495">
        <v>2</v>
      </c>
      <c r="G495" s="3">
        <v>0.03</v>
      </c>
      <c r="H495" t="s">
        <v>53</v>
      </c>
      <c r="I495" t="s">
        <v>54</v>
      </c>
      <c r="J495" t="s">
        <v>21</v>
      </c>
    </row>
    <row r="496" spans="1:10" x14ac:dyDescent="0.45">
      <c r="A496" t="s">
        <v>915</v>
      </c>
      <c r="B496" s="2">
        <v>45938</v>
      </c>
      <c r="C496" t="s">
        <v>916</v>
      </c>
      <c r="D496" t="s">
        <v>151</v>
      </c>
      <c r="E496" t="s">
        <v>140</v>
      </c>
      <c r="F496">
        <v>4</v>
      </c>
      <c r="G496" s="3">
        <v>0</v>
      </c>
      <c r="H496" t="s">
        <v>26</v>
      </c>
      <c r="I496" t="s">
        <v>27</v>
      </c>
      <c r="J496" t="s">
        <v>59</v>
      </c>
    </row>
    <row r="497" spans="1:10" x14ac:dyDescent="0.45">
      <c r="A497" t="s">
        <v>917</v>
      </c>
      <c r="B497" s="2">
        <v>45711</v>
      </c>
      <c r="C497" t="s">
        <v>538</v>
      </c>
      <c r="D497" t="s">
        <v>256</v>
      </c>
      <c r="E497" t="s">
        <v>13</v>
      </c>
      <c r="F497">
        <v>6</v>
      </c>
      <c r="G497" s="3">
        <v>0.15</v>
      </c>
      <c r="H497" t="s">
        <v>53</v>
      </c>
      <c r="I497" t="s">
        <v>15</v>
      </c>
      <c r="J497" t="s">
        <v>21</v>
      </c>
    </row>
    <row r="498" spans="1:10" x14ac:dyDescent="0.45">
      <c r="A498" t="s">
        <v>918</v>
      </c>
      <c r="B498" s="2">
        <v>46165</v>
      </c>
      <c r="C498" t="s">
        <v>863</v>
      </c>
      <c r="D498" t="s">
        <v>126</v>
      </c>
      <c r="E498" t="s">
        <v>85</v>
      </c>
      <c r="F498">
        <v>6</v>
      </c>
      <c r="G498" s="3">
        <v>0</v>
      </c>
      <c r="H498" t="s">
        <v>53</v>
      </c>
      <c r="I498" t="s">
        <v>54</v>
      </c>
      <c r="J498" t="s">
        <v>21</v>
      </c>
    </row>
    <row r="499" spans="1:10" x14ac:dyDescent="0.45">
      <c r="A499" t="s">
        <v>919</v>
      </c>
      <c r="B499" s="2">
        <v>45981</v>
      </c>
      <c r="C499" t="s">
        <v>740</v>
      </c>
      <c r="D499" t="s">
        <v>272</v>
      </c>
      <c r="E499" t="s">
        <v>85</v>
      </c>
      <c r="F499">
        <v>1</v>
      </c>
      <c r="G499" s="3">
        <v>0.15</v>
      </c>
      <c r="H499" t="s">
        <v>14</v>
      </c>
      <c r="I499" t="s">
        <v>48</v>
      </c>
      <c r="J499" t="s">
        <v>36</v>
      </c>
    </row>
    <row r="500" spans="1:10" x14ac:dyDescent="0.45">
      <c r="A500" t="s">
        <v>920</v>
      </c>
      <c r="B500" s="2">
        <v>45889</v>
      </c>
      <c r="C500" t="s">
        <v>921</v>
      </c>
      <c r="D500" t="s">
        <v>19</v>
      </c>
      <c r="E500" t="s">
        <v>111</v>
      </c>
      <c r="F500">
        <v>12</v>
      </c>
      <c r="G500" s="3">
        <v>0.15</v>
      </c>
      <c r="H500" t="s">
        <v>26</v>
      </c>
      <c r="I500" t="s">
        <v>54</v>
      </c>
      <c r="J500" t="s">
        <v>21</v>
      </c>
    </row>
    <row r="501" spans="1:10" x14ac:dyDescent="0.45">
      <c r="A501" t="s">
        <v>922</v>
      </c>
      <c r="B501" s="2">
        <v>45757</v>
      </c>
      <c r="C501" t="s">
        <v>811</v>
      </c>
      <c r="D501" t="s">
        <v>320</v>
      </c>
      <c r="E501" t="s">
        <v>127</v>
      </c>
      <c r="F501">
        <v>1</v>
      </c>
      <c r="G501" s="3">
        <v>0.2</v>
      </c>
      <c r="H501" t="s">
        <v>14</v>
      </c>
      <c r="I501" t="s">
        <v>48</v>
      </c>
      <c r="J501" t="s">
        <v>21</v>
      </c>
    </row>
    <row r="502" spans="1:10" x14ac:dyDescent="0.45">
      <c r="A502" t="s">
        <v>923</v>
      </c>
      <c r="B502" s="2">
        <v>45911</v>
      </c>
      <c r="C502" t="s">
        <v>187</v>
      </c>
      <c r="D502" t="s">
        <v>148</v>
      </c>
      <c r="E502" t="s">
        <v>152</v>
      </c>
      <c r="F502">
        <v>2</v>
      </c>
      <c r="G502" s="3">
        <v>0.2</v>
      </c>
      <c r="H502" t="s">
        <v>14</v>
      </c>
      <c r="I502" t="s">
        <v>27</v>
      </c>
      <c r="J502" t="s">
        <v>16</v>
      </c>
    </row>
    <row r="503" spans="1:10" x14ac:dyDescent="0.45">
      <c r="A503" t="s">
        <v>924</v>
      </c>
      <c r="B503" s="2">
        <v>45732</v>
      </c>
      <c r="C503" t="s">
        <v>925</v>
      </c>
      <c r="D503" t="s">
        <v>126</v>
      </c>
      <c r="E503" t="s">
        <v>218</v>
      </c>
      <c r="F503">
        <v>10</v>
      </c>
      <c r="G503" s="3">
        <v>0.2</v>
      </c>
      <c r="H503" t="s">
        <v>53</v>
      </c>
      <c r="I503" t="s">
        <v>15</v>
      </c>
      <c r="J503" t="s">
        <v>21</v>
      </c>
    </row>
    <row r="504" spans="1:10" x14ac:dyDescent="0.45">
      <c r="A504" t="s">
        <v>926</v>
      </c>
      <c r="B504" s="2">
        <v>46044</v>
      </c>
      <c r="C504" t="s">
        <v>927</v>
      </c>
      <c r="D504" t="s">
        <v>221</v>
      </c>
      <c r="E504" t="s">
        <v>35</v>
      </c>
      <c r="F504">
        <v>6</v>
      </c>
      <c r="G504" s="3">
        <v>0</v>
      </c>
      <c r="H504" t="s">
        <v>53</v>
      </c>
      <c r="I504" t="s">
        <v>48</v>
      </c>
      <c r="J504" t="s">
        <v>36</v>
      </c>
    </row>
    <row r="505" spans="1:10" x14ac:dyDescent="0.45">
      <c r="A505" t="s">
        <v>928</v>
      </c>
      <c r="B505" s="2">
        <v>46100</v>
      </c>
      <c r="C505" t="s">
        <v>694</v>
      </c>
      <c r="D505" t="s">
        <v>221</v>
      </c>
      <c r="E505" t="s">
        <v>101</v>
      </c>
      <c r="F505">
        <v>2</v>
      </c>
      <c r="G505" s="3">
        <v>0</v>
      </c>
      <c r="H505" t="s">
        <v>53</v>
      </c>
      <c r="I505" t="s">
        <v>48</v>
      </c>
      <c r="J505" t="s">
        <v>21</v>
      </c>
    </row>
    <row r="506" spans="1:10" x14ac:dyDescent="0.45">
      <c r="A506" t="s">
        <v>929</v>
      </c>
      <c r="B506" s="2">
        <v>46078</v>
      </c>
      <c r="C506" t="s">
        <v>930</v>
      </c>
      <c r="D506" t="s">
        <v>380</v>
      </c>
      <c r="E506" t="s">
        <v>31</v>
      </c>
      <c r="F506">
        <v>4</v>
      </c>
      <c r="G506" s="3">
        <v>0</v>
      </c>
      <c r="H506" t="s">
        <v>14</v>
      </c>
      <c r="I506" t="s">
        <v>15</v>
      </c>
      <c r="J506" t="s">
        <v>16</v>
      </c>
    </row>
    <row r="507" spans="1:10" x14ac:dyDescent="0.45">
      <c r="A507" t="s">
        <v>931</v>
      </c>
      <c r="B507" s="2">
        <v>46005</v>
      </c>
      <c r="C507" t="s">
        <v>932</v>
      </c>
      <c r="D507" t="s">
        <v>30</v>
      </c>
      <c r="E507" t="s">
        <v>31</v>
      </c>
      <c r="F507">
        <v>11</v>
      </c>
      <c r="G507" s="3">
        <v>0</v>
      </c>
      <c r="H507" t="s">
        <v>14</v>
      </c>
      <c r="I507" t="s">
        <v>27</v>
      </c>
      <c r="J507" t="s">
        <v>21</v>
      </c>
    </row>
    <row r="508" spans="1:10" x14ac:dyDescent="0.45">
      <c r="A508" t="s">
        <v>933</v>
      </c>
      <c r="B508" s="2">
        <v>45727</v>
      </c>
      <c r="C508" t="s">
        <v>184</v>
      </c>
      <c r="D508" t="s">
        <v>12</v>
      </c>
      <c r="E508" t="s">
        <v>97</v>
      </c>
      <c r="F508">
        <v>10</v>
      </c>
      <c r="G508" s="3">
        <v>0.05</v>
      </c>
      <c r="H508" t="s">
        <v>26</v>
      </c>
      <c r="I508" t="s">
        <v>54</v>
      </c>
      <c r="J508" t="s">
        <v>21</v>
      </c>
    </row>
    <row r="509" spans="1:10" x14ac:dyDescent="0.45">
      <c r="A509" t="s">
        <v>934</v>
      </c>
      <c r="B509" s="2">
        <v>46150</v>
      </c>
      <c r="C509" t="s">
        <v>271</v>
      </c>
      <c r="D509" t="s">
        <v>158</v>
      </c>
      <c r="E509" t="s">
        <v>13</v>
      </c>
      <c r="F509">
        <v>12</v>
      </c>
      <c r="G509" s="3">
        <v>0.2</v>
      </c>
      <c r="H509" t="s">
        <v>14</v>
      </c>
      <c r="I509" t="s">
        <v>54</v>
      </c>
      <c r="J509" t="s">
        <v>16</v>
      </c>
    </row>
    <row r="510" spans="1:10" x14ac:dyDescent="0.45">
      <c r="A510" t="s">
        <v>935</v>
      </c>
      <c r="B510" s="2">
        <v>46104</v>
      </c>
      <c r="C510" t="s">
        <v>936</v>
      </c>
      <c r="D510" t="s">
        <v>91</v>
      </c>
      <c r="E510" t="s">
        <v>101</v>
      </c>
      <c r="F510">
        <v>9</v>
      </c>
      <c r="G510" s="3">
        <v>0.1</v>
      </c>
      <c r="H510" t="s">
        <v>14</v>
      </c>
      <c r="I510" t="s">
        <v>54</v>
      </c>
      <c r="J510" t="s">
        <v>21</v>
      </c>
    </row>
    <row r="511" spans="1:10" x14ac:dyDescent="0.45">
      <c r="A511" t="s">
        <v>937</v>
      </c>
      <c r="B511" s="2">
        <v>45956</v>
      </c>
      <c r="C511" t="s">
        <v>459</v>
      </c>
      <c r="D511" t="s">
        <v>114</v>
      </c>
      <c r="E511" t="s">
        <v>281</v>
      </c>
      <c r="F511">
        <v>6</v>
      </c>
      <c r="G511" s="3">
        <v>0</v>
      </c>
      <c r="H511" t="s">
        <v>14</v>
      </c>
      <c r="I511" t="s">
        <v>54</v>
      </c>
      <c r="J511" t="s">
        <v>21</v>
      </c>
    </row>
    <row r="512" spans="1:10" x14ac:dyDescent="0.45">
      <c r="A512" t="s">
        <v>938</v>
      </c>
      <c r="B512" s="2">
        <v>46090</v>
      </c>
      <c r="C512" t="s">
        <v>269</v>
      </c>
      <c r="D512" t="s">
        <v>502</v>
      </c>
      <c r="E512" t="s">
        <v>35</v>
      </c>
      <c r="F512">
        <v>6</v>
      </c>
      <c r="G512" s="3">
        <v>0.05</v>
      </c>
      <c r="H512" t="s">
        <v>26</v>
      </c>
      <c r="I512" t="s">
        <v>54</v>
      </c>
      <c r="J512" t="s">
        <v>16</v>
      </c>
    </row>
    <row r="513" spans="1:10" x14ac:dyDescent="0.45">
      <c r="A513" t="s">
        <v>939</v>
      </c>
      <c r="B513" s="2">
        <v>46145</v>
      </c>
      <c r="C513" t="s">
        <v>940</v>
      </c>
      <c r="D513" t="s">
        <v>71</v>
      </c>
      <c r="E513" t="s">
        <v>20</v>
      </c>
      <c r="F513">
        <v>12</v>
      </c>
      <c r="G513" s="3">
        <v>0.2</v>
      </c>
      <c r="H513" t="s">
        <v>14</v>
      </c>
      <c r="I513" t="s">
        <v>27</v>
      </c>
      <c r="J513" t="s">
        <v>36</v>
      </c>
    </row>
    <row r="514" spans="1:10" x14ac:dyDescent="0.45">
      <c r="A514" t="s">
        <v>941</v>
      </c>
      <c r="B514" s="2">
        <v>45964</v>
      </c>
      <c r="C514" t="s">
        <v>432</v>
      </c>
      <c r="D514" t="s">
        <v>148</v>
      </c>
      <c r="E514" t="s">
        <v>82</v>
      </c>
      <c r="F514">
        <v>7</v>
      </c>
      <c r="G514" s="3">
        <v>0.1</v>
      </c>
      <c r="H514" t="s">
        <v>14</v>
      </c>
      <c r="I514" t="s">
        <v>15</v>
      </c>
      <c r="J514" t="s">
        <v>36</v>
      </c>
    </row>
    <row r="515" spans="1:10" x14ac:dyDescent="0.45">
      <c r="A515" t="s">
        <v>942</v>
      </c>
      <c r="B515" s="2">
        <v>45661</v>
      </c>
      <c r="C515" t="s">
        <v>445</v>
      </c>
      <c r="D515" t="s">
        <v>365</v>
      </c>
      <c r="E515" t="s">
        <v>218</v>
      </c>
      <c r="F515">
        <v>11</v>
      </c>
      <c r="G515" s="3">
        <v>0.05</v>
      </c>
      <c r="H515" t="s">
        <v>53</v>
      </c>
      <c r="I515" t="s">
        <v>15</v>
      </c>
      <c r="J515" t="s">
        <v>21</v>
      </c>
    </row>
    <row r="516" spans="1:10" x14ac:dyDescent="0.45">
      <c r="A516" t="s">
        <v>943</v>
      </c>
      <c r="B516" s="2">
        <v>45997</v>
      </c>
      <c r="C516" t="s">
        <v>630</v>
      </c>
      <c r="D516" t="s">
        <v>238</v>
      </c>
      <c r="E516" t="s">
        <v>111</v>
      </c>
      <c r="F516">
        <v>12</v>
      </c>
      <c r="G516" s="3">
        <v>0.15</v>
      </c>
      <c r="H516" t="s">
        <v>14</v>
      </c>
      <c r="I516" t="s">
        <v>54</v>
      </c>
      <c r="J516" t="s">
        <v>16</v>
      </c>
    </row>
    <row r="517" spans="1:10" x14ac:dyDescent="0.45">
      <c r="A517" t="s">
        <v>944</v>
      </c>
      <c r="B517" s="2">
        <v>45733</v>
      </c>
      <c r="C517" t="s">
        <v>945</v>
      </c>
      <c r="D517" t="s">
        <v>202</v>
      </c>
      <c r="E517" t="s">
        <v>97</v>
      </c>
      <c r="F517">
        <v>6</v>
      </c>
      <c r="G517" s="3">
        <v>0</v>
      </c>
      <c r="H517" t="s">
        <v>14</v>
      </c>
      <c r="I517" t="s">
        <v>54</v>
      </c>
      <c r="J517" t="s">
        <v>21</v>
      </c>
    </row>
    <row r="518" spans="1:10" x14ac:dyDescent="0.45">
      <c r="A518" t="s">
        <v>946</v>
      </c>
      <c r="B518" s="2">
        <v>46026</v>
      </c>
      <c r="C518" t="s">
        <v>947</v>
      </c>
      <c r="D518" t="s">
        <v>78</v>
      </c>
      <c r="E518" t="s">
        <v>40</v>
      </c>
      <c r="F518">
        <v>1</v>
      </c>
      <c r="G518" s="3">
        <v>0</v>
      </c>
      <c r="H518" t="s">
        <v>14</v>
      </c>
      <c r="I518" t="s">
        <v>27</v>
      </c>
      <c r="J518" t="s">
        <v>21</v>
      </c>
    </row>
    <row r="519" spans="1:10" x14ac:dyDescent="0.45">
      <c r="A519" t="s">
        <v>948</v>
      </c>
      <c r="B519" s="2">
        <v>45909</v>
      </c>
      <c r="C519" t="s">
        <v>790</v>
      </c>
      <c r="D519" t="s">
        <v>185</v>
      </c>
      <c r="E519" t="s">
        <v>281</v>
      </c>
      <c r="F519">
        <v>3</v>
      </c>
      <c r="G519" s="3">
        <v>0.05</v>
      </c>
      <c r="H519" t="s">
        <v>14</v>
      </c>
      <c r="I519" t="s">
        <v>27</v>
      </c>
      <c r="J519" t="s">
        <v>36</v>
      </c>
    </row>
    <row r="520" spans="1:10" x14ac:dyDescent="0.45">
      <c r="A520" t="s">
        <v>949</v>
      </c>
      <c r="B520" s="2">
        <v>45771</v>
      </c>
      <c r="C520" t="s">
        <v>950</v>
      </c>
      <c r="D520" t="s">
        <v>182</v>
      </c>
      <c r="E520" t="s">
        <v>136</v>
      </c>
      <c r="F520">
        <v>6</v>
      </c>
      <c r="G520" s="3">
        <v>0.05</v>
      </c>
      <c r="H520" t="s">
        <v>14</v>
      </c>
      <c r="I520" t="s">
        <v>54</v>
      </c>
      <c r="J520" t="s">
        <v>21</v>
      </c>
    </row>
    <row r="521" spans="1:10" x14ac:dyDescent="0.45">
      <c r="A521" t="s">
        <v>951</v>
      </c>
      <c r="B521" s="2">
        <v>46102</v>
      </c>
      <c r="C521" t="s">
        <v>668</v>
      </c>
      <c r="D521" t="s">
        <v>179</v>
      </c>
      <c r="E521" t="s">
        <v>140</v>
      </c>
      <c r="F521">
        <v>12</v>
      </c>
      <c r="G521" s="3">
        <v>0</v>
      </c>
      <c r="H521" t="s">
        <v>14</v>
      </c>
      <c r="I521" t="s">
        <v>54</v>
      </c>
      <c r="J521" t="s">
        <v>16</v>
      </c>
    </row>
    <row r="522" spans="1:10" x14ac:dyDescent="0.45">
      <c r="A522" t="s">
        <v>952</v>
      </c>
      <c r="B522" s="2">
        <v>46041</v>
      </c>
      <c r="C522" t="s">
        <v>953</v>
      </c>
      <c r="D522" t="s">
        <v>272</v>
      </c>
      <c r="E522" t="s">
        <v>136</v>
      </c>
      <c r="F522">
        <v>6</v>
      </c>
      <c r="G522" s="3">
        <v>0.15</v>
      </c>
      <c r="H522" t="s">
        <v>26</v>
      </c>
      <c r="I522" t="s">
        <v>54</v>
      </c>
      <c r="J522" t="s">
        <v>36</v>
      </c>
    </row>
    <row r="523" spans="1:10" x14ac:dyDescent="0.45">
      <c r="A523" t="s">
        <v>954</v>
      </c>
      <c r="B523" s="2">
        <v>45851</v>
      </c>
      <c r="C523" t="s">
        <v>698</v>
      </c>
      <c r="D523" t="s">
        <v>34</v>
      </c>
      <c r="E523" t="s">
        <v>197</v>
      </c>
      <c r="F523">
        <v>9</v>
      </c>
      <c r="G523" s="3">
        <v>0.08</v>
      </c>
      <c r="H523" t="s">
        <v>53</v>
      </c>
      <c r="I523" t="s">
        <v>27</v>
      </c>
      <c r="J523" t="s">
        <v>21</v>
      </c>
    </row>
    <row r="524" spans="1:10" x14ac:dyDescent="0.45">
      <c r="A524" t="s">
        <v>955</v>
      </c>
      <c r="B524" s="2">
        <v>46178</v>
      </c>
      <c r="C524" t="s">
        <v>301</v>
      </c>
      <c r="D524" t="s">
        <v>205</v>
      </c>
      <c r="E524" t="s">
        <v>225</v>
      </c>
      <c r="F524">
        <v>10</v>
      </c>
      <c r="G524" s="3">
        <v>0.2</v>
      </c>
      <c r="H524" t="s">
        <v>14</v>
      </c>
      <c r="I524" t="s">
        <v>48</v>
      </c>
      <c r="J524" t="s">
        <v>16</v>
      </c>
    </row>
    <row r="525" spans="1:10" x14ac:dyDescent="0.45">
      <c r="A525" t="s">
        <v>956</v>
      </c>
      <c r="B525" s="2">
        <v>45829</v>
      </c>
      <c r="C525" t="s">
        <v>416</v>
      </c>
      <c r="D525" t="s">
        <v>34</v>
      </c>
      <c r="E525" t="s">
        <v>127</v>
      </c>
      <c r="F525">
        <v>9</v>
      </c>
      <c r="G525" s="3">
        <v>0.15</v>
      </c>
      <c r="H525" t="s">
        <v>53</v>
      </c>
      <c r="I525" t="s">
        <v>27</v>
      </c>
      <c r="J525" t="s">
        <v>21</v>
      </c>
    </row>
    <row r="526" spans="1:10" x14ac:dyDescent="0.45">
      <c r="A526" t="s">
        <v>957</v>
      </c>
      <c r="B526" s="2">
        <v>46040</v>
      </c>
      <c r="C526" t="s">
        <v>896</v>
      </c>
      <c r="D526" t="s">
        <v>185</v>
      </c>
      <c r="E526" t="s">
        <v>281</v>
      </c>
      <c r="F526">
        <v>9</v>
      </c>
      <c r="G526" s="3">
        <v>0.2</v>
      </c>
      <c r="H526" t="s">
        <v>53</v>
      </c>
      <c r="I526" t="s">
        <v>15</v>
      </c>
      <c r="J526" t="s">
        <v>21</v>
      </c>
    </row>
    <row r="527" spans="1:10" x14ac:dyDescent="0.45">
      <c r="A527" t="s">
        <v>958</v>
      </c>
      <c r="B527" s="2">
        <v>45695</v>
      </c>
      <c r="C527" t="s">
        <v>597</v>
      </c>
      <c r="D527" t="s">
        <v>380</v>
      </c>
      <c r="E527" t="s">
        <v>25</v>
      </c>
      <c r="F527">
        <v>4</v>
      </c>
      <c r="G527" s="3">
        <v>0.05</v>
      </c>
      <c r="H527" t="s">
        <v>53</v>
      </c>
      <c r="I527" t="s">
        <v>15</v>
      </c>
      <c r="J527" t="s">
        <v>36</v>
      </c>
    </row>
    <row r="528" spans="1:10" x14ac:dyDescent="0.45">
      <c r="A528" t="s">
        <v>959</v>
      </c>
      <c r="B528" s="2">
        <v>46093</v>
      </c>
      <c r="C528" t="s">
        <v>718</v>
      </c>
      <c r="D528" t="s">
        <v>130</v>
      </c>
      <c r="E528" t="s">
        <v>101</v>
      </c>
      <c r="F528">
        <v>7</v>
      </c>
      <c r="G528" s="3">
        <v>0.03</v>
      </c>
      <c r="H528" t="s">
        <v>26</v>
      </c>
      <c r="I528" t="s">
        <v>27</v>
      </c>
      <c r="J528" t="s">
        <v>21</v>
      </c>
    </row>
    <row r="529" spans="1:10" x14ac:dyDescent="0.45">
      <c r="A529" t="s">
        <v>960</v>
      </c>
      <c r="B529" s="2">
        <v>45744</v>
      </c>
      <c r="C529" t="s">
        <v>927</v>
      </c>
      <c r="D529" t="s">
        <v>182</v>
      </c>
      <c r="E529" t="s">
        <v>40</v>
      </c>
      <c r="F529">
        <v>5</v>
      </c>
      <c r="G529" s="3">
        <v>0.2</v>
      </c>
      <c r="H529" t="s">
        <v>14</v>
      </c>
      <c r="I529" t="s">
        <v>54</v>
      </c>
      <c r="J529" t="s">
        <v>21</v>
      </c>
    </row>
    <row r="530" spans="1:10" x14ac:dyDescent="0.45">
      <c r="A530" t="s">
        <v>961</v>
      </c>
      <c r="B530" s="2">
        <v>46002</v>
      </c>
      <c r="C530" t="s">
        <v>962</v>
      </c>
      <c r="D530" t="s">
        <v>118</v>
      </c>
      <c r="E530" t="s">
        <v>82</v>
      </c>
      <c r="F530">
        <v>7</v>
      </c>
      <c r="G530" s="3">
        <v>0.2</v>
      </c>
      <c r="H530" t="s">
        <v>14</v>
      </c>
      <c r="I530" t="s">
        <v>15</v>
      </c>
      <c r="J530" t="s">
        <v>21</v>
      </c>
    </row>
    <row r="531" spans="1:10" x14ac:dyDescent="0.45">
      <c r="A531" t="s">
        <v>963</v>
      </c>
      <c r="B531" s="2">
        <v>46049</v>
      </c>
      <c r="C531" t="s">
        <v>727</v>
      </c>
      <c r="D531" t="s">
        <v>88</v>
      </c>
      <c r="E531" t="s">
        <v>152</v>
      </c>
      <c r="F531">
        <v>1</v>
      </c>
      <c r="G531" s="3">
        <v>0.03</v>
      </c>
      <c r="H531" t="s">
        <v>14</v>
      </c>
      <c r="I531" t="s">
        <v>27</v>
      </c>
      <c r="J531" t="s">
        <v>21</v>
      </c>
    </row>
    <row r="532" spans="1:10" x14ac:dyDescent="0.45">
      <c r="A532" t="s">
        <v>964</v>
      </c>
      <c r="B532" s="2">
        <v>46171</v>
      </c>
      <c r="C532" t="s">
        <v>965</v>
      </c>
      <c r="D532" t="s">
        <v>241</v>
      </c>
      <c r="E532" t="s">
        <v>101</v>
      </c>
      <c r="F532">
        <v>9</v>
      </c>
      <c r="G532" s="3">
        <v>0</v>
      </c>
      <c r="H532" t="s">
        <v>53</v>
      </c>
      <c r="I532" t="s">
        <v>54</v>
      </c>
      <c r="J532" t="s">
        <v>21</v>
      </c>
    </row>
    <row r="533" spans="1:10" x14ac:dyDescent="0.45">
      <c r="A533" t="s">
        <v>966</v>
      </c>
      <c r="B533" s="2">
        <v>45863</v>
      </c>
      <c r="C533" t="s">
        <v>967</v>
      </c>
      <c r="D533" t="s">
        <v>202</v>
      </c>
      <c r="E533" t="s">
        <v>35</v>
      </c>
      <c r="F533">
        <v>6</v>
      </c>
      <c r="G533" s="3">
        <v>0.05</v>
      </c>
      <c r="H533" t="s">
        <v>53</v>
      </c>
      <c r="I533" t="s">
        <v>27</v>
      </c>
      <c r="J533" t="s">
        <v>21</v>
      </c>
    </row>
    <row r="534" spans="1:10" x14ac:dyDescent="0.45">
      <c r="A534" t="s">
        <v>968</v>
      </c>
      <c r="B534" s="2">
        <v>45799</v>
      </c>
      <c r="C534" t="s">
        <v>267</v>
      </c>
      <c r="D534" t="s">
        <v>205</v>
      </c>
      <c r="E534" t="s">
        <v>115</v>
      </c>
      <c r="F534">
        <v>12</v>
      </c>
      <c r="G534" s="3">
        <v>0.08</v>
      </c>
      <c r="H534" t="s">
        <v>14</v>
      </c>
      <c r="I534" t="s">
        <v>27</v>
      </c>
      <c r="J534" t="s">
        <v>21</v>
      </c>
    </row>
    <row r="535" spans="1:10" x14ac:dyDescent="0.45">
      <c r="A535" t="s">
        <v>969</v>
      </c>
      <c r="B535" s="2">
        <v>45670</v>
      </c>
      <c r="C535" t="s">
        <v>970</v>
      </c>
      <c r="D535" t="s">
        <v>380</v>
      </c>
      <c r="E535" t="s">
        <v>136</v>
      </c>
      <c r="F535">
        <v>8</v>
      </c>
      <c r="G535" s="3">
        <v>0.03</v>
      </c>
      <c r="H535" t="s">
        <v>53</v>
      </c>
      <c r="I535" t="s">
        <v>54</v>
      </c>
      <c r="J535" t="s">
        <v>21</v>
      </c>
    </row>
    <row r="536" spans="1:10" x14ac:dyDescent="0.45">
      <c r="A536" t="s">
        <v>971</v>
      </c>
      <c r="B536" s="2">
        <v>45897</v>
      </c>
      <c r="C536" t="s">
        <v>169</v>
      </c>
      <c r="D536" t="s">
        <v>249</v>
      </c>
      <c r="E536" t="s">
        <v>47</v>
      </c>
      <c r="F536">
        <v>9</v>
      </c>
      <c r="G536" s="3">
        <v>0.2</v>
      </c>
      <c r="H536" t="s">
        <v>53</v>
      </c>
      <c r="I536" t="s">
        <v>15</v>
      </c>
      <c r="J536" t="s">
        <v>21</v>
      </c>
    </row>
    <row r="537" spans="1:10" x14ac:dyDescent="0.45">
      <c r="A537" t="s">
        <v>972</v>
      </c>
      <c r="B537" s="2">
        <v>46097</v>
      </c>
      <c r="C537" t="s">
        <v>927</v>
      </c>
      <c r="D537" t="s">
        <v>88</v>
      </c>
      <c r="E537" t="s">
        <v>115</v>
      </c>
      <c r="F537">
        <v>12</v>
      </c>
      <c r="G537" s="3">
        <v>0.15</v>
      </c>
      <c r="H537" t="s">
        <v>14</v>
      </c>
      <c r="I537" t="s">
        <v>15</v>
      </c>
      <c r="J537" t="s">
        <v>36</v>
      </c>
    </row>
    <row r="538" spans="1:10" x14ac:dyDescent="0.45">
      <c r="A538" t="s">
        <v>973</v>
      </c>
      <c r="B538" s="2">
        <v>45789</v>
      </c>
      <c r="C538" t="s">
        <v>974</v>
      </c>
      <c r="D538" t="s">
        <v>139</v>
      </c>
      <c r="E538" t="s">
        <v>225</v>
      </c>
      <c r="F538">
        <v>5</v>
      </c>
      <c r="G538" s="3">
        <v>0</v>
      </c>
      <c r="H538" t="s">
        <v>14</v>
      </c>
      <c r="I538" t="s">
        <v>27</v>
      </c>
      <c r="J538" t="s">
        <v>21</v>
      </c>
    </row>
    <row r="539" spans="1:10" x14ac:dyDescent="0.45">
      <c r="A539" t="s">
        <v>975</v>
      </c>
      <c r="B539" s="2">
        <v>46071</v>
      </c>
      <c r="C539" t="s">
        <v>976</v>
      </c>
      <c r="D539" t="s">
        <v>295</v>
      </c>
      <c r="E539" t="s">
        <v>20</v>
      </c>
      <c r="F539">
        <v>12</v>
      </c>
      <c r="G539" s="3">
        <v>0.08</v>
      </c>
      <c r="H539" t="s">
        <v>14</v>
      </c>
      <c r="I539" t="s">
        <v>48</v>
      </c>
      <c r="J539" t="s">
        <v>21</v>
      </c>
    </row>
    <row r="540" spans="1:10" x14ac:dyDescent="0.45">
      <c r="A540" t="s">
        <v>977</v>
      </c>
      <c r="B540" s="2">
        <v>45996</v>
      </c>
      <c r="C540" t="s">
        <v>368</v>
      </c>
      <c r="D540" t="s">
        <v>182</v>
      </c>
      <c r="E540" t="s">
        <v>225</v>
      </c>
      <c r="F540">
        <v>10</v>
      </c>
      <c r="G540" s="3">
        <v>0.15</v>
      </c>
      <c r="H540" t="s">
        <v>26</v>
      </c>
      <c r="I540" t="s">
        <v>54</v>
      </c>
      <c r="J540" t="s">
        <v>107</v>
      </c>
    </row>
    <row r="541" spans="1:10" x14ac:dyDescent="0.45">
      <c r="A541" t="s">
        <v>978</v>
      </c>
      <c r="B541" s="2">
        <v>45850</v>
      </c>
      <c r="C541" t="s">
        <v>23</v>
      </c>
      <c r="D541" t="s">
        <v>272</v>
      </c>
      <c r="E541" t="s">
        <v>136</v>
      </c>
      <c r="F541">
        <v>8</v>
      </c>
      <c r="G541" s="3">
        <v>0</v>
      </c>
      <c r="H541" t="s">
        <v>14</v>
      </c>
      <c r="I541" t="s">
        <v>15</v>
      </c>
      <c r="J541" t="s">
        <v>21</v>
      </c>
    </row>
    <row r="542" spans="1:10" x14ac:dyDescent="0.45">
      <c r="A542" t="s">
        <v>979</v>
      </c>
      <c r="B542" s="2">
        <v>45764</v>
      </c>
      <c r="C542" t="s">
        <v>980</v>
      </c>
      <c r="D542" t="s">
        <v>46</v>
      </c>
      <c r="E542" t="s">
        <v>144</v>
      </c>
      <c r="F542">
        <v>11</v>
      </c>
      <c r="G542" s="3">
        <v>0.03</v>
      </c>
      <c r="H542" t="s">
        <v>14</v>
      </c>
      <c r="I542" t="s">
        <v>15</v>
      </c>
      <c r="J542" t="s">
        <v>21</v>
      </c>
    </row>
    <row r="543" spans="1:10" x14ac:dyDescent="0.45">
      <c r="A543" t="s">
        <v>981</v>
      </c>
      <c r="B543" s="2">
        <v>45948</v>
      </c>
      <c r="C543" t="s">
        <v>779</v>
      </c>
      <c r="D543" t="s">
        <v>277</v>
      </c>
      <c r="E543" t="s">
        <v>136</v>
      </c>
      <c r="F543">
        <v>4</v>
      </c>
      <c r="G543" s="3">
        <v>0.05</v>
      </c>
      <c r="H543" t="s">
        <v>14</v>
      </c>
      <c r="I543" t="s">
        <v>48</v>
      </c>
      <c r="J543" t="s">
        <v>21</v>
      </c>
    </row>
    <row r="544" spans="1:10" x14ac:dyDescent="0.45">
      <c r="A544" t="s">
        <v>982</v>
      </c>
      <c r="B544" s="2">
        <v>45833</v>
      </c>
      <c r="C544" t="s">
        <v>983</v>
      </c>
      <c r="D544" t="s">
        <v>126</v>
      </c>
      <c r="E544" t="s">
        <v>97</v>
      </c>
      <c r="F544">
        <v>6</v>
      </c>
      <c r="G544" s="3">
        <v>0.15</v>
      </c>
      <c r="H544" t="s">
        <v>14</v>
      </c>
      <c r="I544" t="s">
        <v>48</v>
      </c>
      <c r="J544" t="s">
        <v>21</v>
      </c>
    </row>
    <row r="545" spans="1:10" x14ac:dyDescent="0.45">
      <c r="A545" t="s">
        <v>984</v>
      </c>
      <c r="B545" s="2">
        <v>45728</v>
      </c>
      <c r="C545" t="s">
        <v>976</v>
      </c>
      <c r="D545" t="s">
        <v>238</v>
      </c>
      <c r="E545" t="s">
        <v>111</v>
      </c>
      <c r="F545">
        <v>7</v>
      </c>
      <c r="G545" s="3">
        <v>0.05</v>
      </c>
      <c r="H545" t="s">
        <v>14</v>
      </c>
      <c r="I545" t="s">
        <v>54</v>
      </c>
      <c r="J545" t="s">
        <v>21</v>
      </c>
    </row>
    <row r="546" spans="1:10" x14ac:dyDescent="0.45">
      <c r="A546" t="s">
        <v>985</v>
      </c>
      <c r="B546" s="2">
        <v>45975</v>
      </c>
      <c r="C546" t="s">
        <v>524</v>
      </c>
      <c r="D546" t="s">
        <v>280</v>
      </c>
      <c r="E546" t="s">
        <v>144</v>
      </c>
      <c r="F546">
        <v>10</v>
      </c>
      <c r="G546" s="3">
        <v>0.05</v>
      </c>
      <c r="H546" t="s">
        <v>14</v>
      </c>
      <c r="I546" t="s">
        <v>15</v>
      </c>
      <c r="J546" t="s">
        <v>21</v>
      </c>
    </row>
    <row r="547" spans="1:10" x14ac:dyDescent="0.45">
      <c r="A547" t="s">
        <v>986</v>
      </c>
      <c r="B547" s="2">
        <v>45723</v>
      </c>
      <c r="C547" t="s">
        <v>945</v>
      </c>
      <c r="D547" t="s">
        <v>167</v>
      </c>
      <c r="E547" t="s">
        <v>85</v>
      </c>
      <c r="F547">
        <v>7</v>
      </c>
      <c r="G547" s="3">
        <v>0.05</v>
      </c>
      <c r="H547" t="s">
        <v>14</v>
      </c>
      <c r="I547" t="s">
        <v>15</v>
      </c>
      <c r="J547" t="s">
        <v>21</v>
      </c>
    </row>
    <row r="548" spans="1:10" x14ac:dyDescent="0.45">
      <c r="A548" t="s">
        <v>987</v>
      </c>
      <c r="B548" s="2">
        <v>45751</v>
      </c>
      <c r="C548" t="s">
        <v>150</v>
      </c>
      <c r="D548" t="s">
        <v>348</v>
      </c>
      <c r="E548" t="s">
        <v>111</v>
      </c>
      <c r="F548">
        <v>5</v>
      </c>
      <c r="G548" s="3">
        <v>0.2</v>
      </c>
      <c r="H548" t="s">
        <v>14</v>
      </c>
      <c r="I548" t="s">
        <v>27</v>
      </c>
      <c r="J548" t="s">
        <v>21</v>
      </c>
    </row>
    <row r="549" spans="1:10" x14ac:dyDescent="0.45">
      <c r="A549" t="s">
        <v>988</v>
      </c>
      <c r="B549" s="2">
        <v>45913</v>
      </c>
      <c r="C549" t="s">
        <v>989</v>
      </c>
      <c r="D549" t="s">
        <v>185</v>
      </c>
      <c r="E549" t="s">
        <v>13</v>
      </c>
      <c r="F549">
        <v>3</v>
      </c>
      <c r="G549" s="3">
        <v>0.15</v>
      </c>
      <c r="H549" t="s">
        <v>14</v>
      </c>
      <c r="I549" t="s">
        <v>54</v>
      </c>
      <c r="J549" t="s">
        <v>59</v>
      </c>
    </row>
    <row r="550" spans="1:10" x14ac:dyDescent="0.45">
      <c r="A550" t="s">
        <v>990</v>
      </c>
      <c r="B550" s="2">
        <v>45702</v>
      </c>
      <c r="C550" t="s">
        <v>991</v>
      </c>
      <c r="D550" t="s">
        <v>318</v>
      </c>
      <c r="E550" t="s">
        <v>72</v>
      </c>
      <c r="F550">
        <v>4</v>
      </c>
      <c r="G550" s="3">
        <v>0.03</v>
      </c>
      <c r="H550" t="s">
        <v>14</v>
      </c>
      <c r="I550" t="s">
        <v>27</v>
      </c>
      <c r="J550" t="s">
        <v>21</v>
      </c>
    </row>
    <row r="551" spans="1:10" x14ac:dyDescent="0.45">
      <c r="A551" t="s">
        <v>992</v>
      </c>
      <c r="B551" s="2">
        <v>46079</v>
      </c>
      <c r="C551" t="s">
        <v>993</v>
      </c>
      <c r="D551" t="s">
        <v>130</v>
      </c>
      <c r="E551" t="s">
        <v>47</v>
      </c>
      <c r="F551">
        <v>9</v>
      </c>
      <c r="G551" s="3">
        <v>0</v>
      </c>
      <c r="H551" t="s">
        <v>26</v>
      </c>
      <c r="I551" t="s">
        <v>48</v>
      </c>
      <c r="J551" t="s">
        <v>59</v>
      </c>
    </row>
    <row r="552" spans="1:10" x14ac:dyDescent="0.45">
      <c r="A552" t="s">
        <v>994</v>
      </c>
      <c r="B552" s="2">
        <v>46119</v>
      </c>
      <c r="C552" t="s">
        <v>229</v>
      </c>
      <c r="D552" t="s">
        <v>135</v>
      </c>
      <c r="E552" t="s">
        <v>13</v>
      </c>
      <c r="F552">
        <v>3</v>
      </c>
      <c r="G552" s="3">
        <v>0.08</v>
      </c>
      <c r="H552" t="s">
        <v>14</v>
      </c>
      <c r="I552" t="s">
        <v>48</v>
      </c>
      <c r="J552" t="s">
        <v>21</v>
      </c>
    </row>
    <row r="553" spans="1:10" x14ac:dyDescent="0.45">
      <c r="A553" t="s">
        <v>995</v>
      </c>
      <c r="B553" s="2">
        <v>46009</v>
      </c>
      <c r="C553" t="s">
        <v>157</v>
      </c>
      <c r="D553" t="s">
        <v>449</v>
      </c>
      <c r="E553" t="s">
        <v>136</v>
      </c>
      <c r="F553">
        <v>12</v>
      </c>
      <c r="G553" s="3">
        <v>0.15</v>
      </c>
      <c r="H553" t="s">
        <v>53</v>
      </c>
      <c r="I553" t="s">
        <v>15</v>
      </c>
      <c r="J553" t="s">
        <v>21</v>
      </c>
    </row>
    <row r="554" spans="1:10" x14ac:dyDescent="0.45">
      <c r="A554" t="s">
        <v>996</v>
      </c>
      <c r="B554" s="2">
        <v>45797</v>
      </c>
      <c r="C554" t="s">
        <v>997</v>
      </c>
      <c r="D554" t="s">
        <v>646</v>
      </c>
      <c r="E554" t="s">
        <v>72</v>
      </c>
      <c r="F554">
        <v>6</v>
      </c>
      <c r="G554" s="3">
        <v>0.2</v>
      </c>
      <c r="H554" t="s">
        <v>14</v>
      </c>
      <c r="I554" t="s">
        <v>48</v>
      </c>
      <c r="J554" t="s">
        <v>21</v>
      </c>
    </row>
    <row r="555" spans="1:10" x14ac:dyDescent="0.45">
      <c r="A555" t="s">
        <v>998</v>
      </c>
      <c r="B555" s="2">
        <v>46106</v>
      </c>
      <c r="C555" t="s">
        <v>80</v>
      </c>
      <c r="D555" t="s">
        <v>410</v>
      </c>
      <c r="E555" t="s">
        <v>72</v>
      </c>
      <c r="F555">
        <v>3</v>
      </c>
      <c r="G555" s="3">
        <v>0.2</v>
      </c>
      <c r="H555" t="s">
        <v>53</v>
      </c>
      <c r="I555" t="s">
        <v>54</v>
      </c>
      <c r="J555" t="s">
        <v>21</v>
      </c>
    </row>
    <row r="556" spans="1:10" x14ac:dyDescent="0.45">
      <c r="A556" t="s">
        <v>999</v>
      </c>
      <c r="B556" s="2">
        <v>45839</v>
      </c>
      <c r="C556" t="s">
        <v>363</v>
      </c>
      <c r="D556" t="s">
        <v>114</v>
      </c>
      <c r="E556" t="s">
        <v>31</v>
      </c>
      <c r="F556">
        <v>5</v>
      </c>
      <c r="G556" s="3">
        <v>0</v>
      </c>
      <c r="H556" t="s">
        <v>14</v>
      </c>
      <c r="I556" t="s">
        <v>15</v>
      </c>
      <c r="J556" t="s">
        <v>21</v>
      </c>
    </row>
    <row r="557" spans="1:10" x14ac:dyDescent="0.45">
      <c r="A557" t="s">
        <v>1000</v>
      </c>
      <c r="B557" s="2">
        <v>45937</v>
      </c>
      <c r="C557" t="s">
        <v>510</v>
      </c>
      <c r="D557" t="s">
        <v>110</v>
      </c>
      <c r="E557" t="s">
        <v>20</v>
      </c>
      <c r="F557">
        <v>3</v>
      </c>
      <c r="G557" s="3">
        <v>0.2</v>
      </c>
      <c r="H557" t="s">
        <v>14</v>
      </c>
      <c r="I557" t="s">
        <v>54</v>
      </c>
      <c r="J557" t="s">
        <v>59</v>
      </c>
    </row>
    <row r="558" spans="1:10" x14ac:dyDescent="0.45">
      <c r="A558" t="s">
        <v>1001</v>
      </c>
      <c r="B558" s="2">
        <v>46110</v>
      </c>
      <c r="C558" t="s">
        <v>716</v>
      </c>
      <c r="D558" t="s">
        <v>272</v>
      </c>
      <c r="E558" t="s">
        <v>115</v>
      </c>
      <c r="F558">
        <v>12</v>
      </c>
      <c r="G558" s="3">
        <v>0</v>
      </c>
      <c r="H558" t="s">
        <v>53</v>
      </c>
      <c r="I558" t="s">
        <v>48</v>
      </c>
      <c r="J558" t="s">
        <v>21</v>
      </c>
    </row>
    <row r="559" spans="1:10" x14ac:dyDescent="0.45">
      <c r="A559" t="s">
        <v>1002</v>
      </c>
      <c r="B559" s="2">
        <v>45662</v>
      </c>
      <c r="C559" t="s">
        <v>251</v>
      </c>
      <c r="D559" t="s">
        <v>500</v>
      </c>
      <c r="E559" t="s">
        <v>35</v>
      </c>
      <c r="F559">
        <v>1</v>
      </c>
      <c r="G559" s="3">
        <v>0.15</v>
      </c>
      <c r="H559" t="s">
        <v>53</v>
      </c>
      <c r="I559" t="s">
        <v>54</v>
      </c>
      <c r="J559" t="s">
        <v>21</v>
      </c>
    </row>
    <row r="560" spans="1:10" x14ac:dyDescent="0.45">
      <c r="A560" t="s">
        <v>1003</v>
      </c>
      <c r="B560" s="2">
        <v>45674</v>
      </c>
      <c r="C560" t="s">
        <v>630</v>
      </c>
      <c r="D560" t="s">
        <v>430</v>
      </c>
      <c r="E560" t="s">
        <v>127</v>
      </c>
      <c r="F560">
        <v>7</v>
      </c>
      <c r="G560" s="3">
        <v>0</v>
      </c>
      <c r="H560" t="s">
        <v>26</v>
      </c>
      <c r="I560" t="s">
        <v>27</v>
      </c>
      <c r="J560" t="s">
        <v>16</v>
      </c>
    </row>
    <row r="561" spans="1:10" x14ac:dyDescent="0.45">
      <c r="A561" t="s">
        <v>1004</v>
      </c>
      <c r="B561" s="2">
        <v>45756</v>
      </c>
      <c r="C561" t="s">
        <v>863</v>
      </c>
      <c r="D561" t="s">
        <v>277</v>
      </c>
      <c r="E561" t="s">
        <v>218</v>
      </c>
      <c r="F561">
        <v>11</v>
      </c>
      <c r="G561" s="3">
        <v>0.03</v>
      </c>
      <c r="H561" t="s">
        <v>53</v>
      </c>
      <c r="I561" t="s">
        <v>48</v>
      </c>
      <c r="J561" t="s">
        <v>21</v>
      </c>
    </row>
    <row r="562" spans="1:10" x14ac:dyDescent="0.45">
      <c r="A562" t="s">
        <v>1005</v>
      </c>
      <c r="B562" s="2">
        <v>45852</v>
      </c>
      <c r="C562" t="s">
        <v>184</v>
      </c>
      <c r="D562" t="s">
        <v>135</v>
      </c>
      <c r="E562" t="s">
        <v>281</v>
      </c>
      <c r="F562">
        <v>10</v>
      </c>
      <c r="G562" s="3">
        <v>0.05</v>
      </c>
      <c r="H562" t="s">
        <v>26</v>
      </c>
      <c r="I562" t="s">
        <v>15</v>
      </c>
      <c r="J562" t="s">
        <v>36</v>
      </c>
    </row>
    <row r="563" spans="1:10" x14ac:dyDescent="0.45">
      <c r="A563" t="s">
        <v>1006</v>
      </c>
      <c r="B563" s="2">
        <v>45766</v>
      </c>
      <c r="C563" t="s">
        <v>595</v>
      </c>
      <c r="D563" t="s">
        <v>151</v>
      </c>
      <c r="E563" t="s">
        <v>115</v>
      </c>
      <c r="F563">
        <v>6</v>
      </c>
      <c r="G563" s="3">
        <v>0.1</v>
      </c>
      <c r="H563" t="s">
        <v>14</v>
      </c>
      <c r="I563" t="s">
        <v>15</v>
      </c>
      <c r="J563" t="s">
        <v>21</v>
      </c>
    </row>
    <row r="564" spans="1:10" x14ac:dyDescent="0.45">
      <c r="A564" t="s">
        <v>1007</v>
      </c>
      <c r="B564" s="2">
        <v>46127</v>
      </c>
      <c r="C564" t="s">
        <v>344</v>
      </c>
      <c r="D564" t="s">
        <v>456</v>
      </c>
      <c r="E564" t="s">
        <v>115</v>
      </c>
      <c r="F564">
        <v>4</v>
      </c>
      <c r="G564" s="3">
        <v>0</v>
      </c>
      <c r="H564" t="s">
        <v>53</v>
      </c>
      <c r="I564" t="s">
        <v>27</v>
      </c>
      <c r="J564" t="s">
        <v>21</v>
      </c>
    </row>
    <row r="565" spans="1:10" x14ac:dyDescent="0.45">
      <c r="A565" t="s">
        <v>1008</v>
      </c>
      <c r="B565" s="2">
        <v>45881</v>
      </c>
      <c r="C565" t="s">
        <v>983</v>
      </c>
      <c r="D565" t="s">
        <v>348</v>
      </c>
      <c r="E565" t="s">
        <v>127</v>
      </c>
      <c r="F565">
        <v>7</v>
      </c>
      <c r="G565" s="3">
        <v>0.08</v>
      </c>
      <c r="H565" t="s">
        <v>53</v>
      </c>
      <c r="I565" t="s">
        <v>15</v>
      </c>
      <c r="J565" t="s">
        <v>107</v>
      </c>
    </row>
    <row r="566" spans="1:10" x14ac:dyDescent="0.45">
      <c r="A566" t="s">
        <v>1009</v>
      </c>
      <c r="B566" s="2">
        <v>45833</v>
      </c>
      <c r="C566" t="s">
        <v>1010</v>
      </c>
      <c r="D566" t="s">
        <v>272</v>
      </c>
      <c r="E566" t="s">
        <v>197</v>
      </c>
      <c r="F566">
        <v>5</v>
      </c>
      <c r="G566" s="3">
        <v>0</v>
      </c>
      <c r="H566" t="s">
        <v>14</v>
      </c>
      <c r="I566" t="s">
        <v>15</v>
      </c>
      <c r="J566" t="s">
        <v>59</v>
      </c>
    </row>
    <row r="567" spans="1:10" x14ac:dyDescent="0.45">
      <c r="A567" t="s">
        <v>1011</v>
      </c>
      <c r="B567" s="2">
        <v>45837</v>
      </c>
      <c r="C567" t="s">
        <v>817</v>
      </c>
      <c r="D567" t="s">
        <v>182</v>
      </c>
      <c r="E567" t="s">
        <v>281</v>
      </c>
      <c r="F567">
        <v>11</v>
      </c>
      <c r="G567" s="3">
        <v>0.1</v>
      </c>
      <c r="H567" t="s">
        <v>26</v>
      </c>
      <c r="I567" t="s">
        <v>15</v>
      </c>
      <c r="J567" t="s">
        <v>21</v>
      </c>
    </row>
    <row r="568" spans="1:10" x14ac:dyDescent="0.45">
      <c r="A568" t="s">
        <v>1012</v>
      </c>
      <c r="B568" s="2">
        <v>46117</v>
      </c>
      <c r="C568" t="s">
        <v>363</v>
      </c>
      <c r="D568" t="s">
        <v>114</v>
      </c>
      <c r="E568" t="s">
        <v>197</v>
      </c>
      <c r="F568">
        <v>7</v>
      </c>
      <c r="G568" s="3">
        <v>0.05</v>
      </c>
      <c r="H568" t="s">
        <v>14</v>
      </c>
      <c r="I568" t="s">
        <v>48</v>
      </c>
      <c r="J568" t="s">
        <v>21</v>
      </c>
    </row>
    <row r="569" spans="1:10" x14ac:dyDescent="0.45">
      <c r="A569" t="s">
        <v>1013</v>
      </c>
      <c r="B569" s="2">
        <v>45900</v>
      </c>
      <c r="C569" t="s">
        <v>1014</v>
      </c>
      <c r="D569" t="s">
        <v>155</v>
      </c>
      <c r="E569" t="s">
        <v>101</v>
      </c>
      <c r="F569">
        <v>12</v>
      </c>
      <c r="G569" s="3">
        <v>0.15</v>
      </c>
      <c r="H569" t="s">
        <v>53</v>
      </c>
      <c r="I569" t="s">
        <v>48</v>
      </c>
      <c r="J569" t="s">
        <v>21</v>
      </c>
    </row>
    <row r="570" spans="1:10" x14ac:dyDescent="0.45">
      <c r="A570" t="s">
        <v>1015</v>
      </c>
      <c r="B570" s="2">
        <v>45864</v>
      </c>
      <c r="C570" t="s">
        <v>438</v>
      </c>
      <c r="D570" t="s">
        <v>365</v>
      </c>
      <c r="E570" t="s">
        <v>101</v>
      </c>
      <c r="F570">
        <v>3</v>
      </c>
      <c r="G570" s="3">
        <v>0.15</v>
      </c>
      <c r="H570" t="s">
        <v>14</v>
      </c>
      <c r="I570" t="s">
        <v>48</v>
      </c>
      <c r="J570" t="s">
        <v>21</v>
      </c>
    </row>
    <row r="571" spans="1:10" x14ac:dyDescent="0.45">
      <c r="A571" t="s">
        <v>1016</v>
      </c>
      <c r="B571" s="2">
        <v>45994</v>
      </c>
      <c r="C571" t="s">
        <v>565</v>
      </c>
      <c r="D571" t="s">
        <v>81</v>
      </c>
      <c r="E571" t="s">
        <v>85</v>
      </c>
      <c r="F571">
        <v>3</v>
      </c>
      <c r="G571" s="3">
        <v>0.08</v>
      </c>
      <c r="H571" t="s">
        <v>14</v>
      </c>
      <c r="I571" t="s">
        <v>48</v>
      </c>
      <c r="J571" t="s">
        <v>21</v>
      </c>
    </row>
    <row r="572" spans="1:10" x14ac:dyDescent="0.45">
      <c r="A572" t="s">
        <v>1017</v>
      </c>
      <c r="B572" s="2">
        <v>45682</v>
      </c>
      <c r="C572" t="s">
        <v>214</v>
      </c>
      <c r="D572" t="s">
        <v>106</v>
      </c>
      <c r="E572" t="s">
        <v>40</v>
      </c>
      <c r="F572">
        <v>4</v>
      </c>
      <c r="G572" s="3">
        <v>0.1</v>
      </c>
      <c r="H572" t="s">
        <v>14</v>
      </c>
      <c r="I572" t="s">
        <v>54</v>
      </c>
      <c r="J572" t="s">
        <v>21</v>
      </c>
    </row>
    <row r="573" spans="1:10" x14ac:dyDescent="0.45">
      <c r="A573" t="s">
        <v>1018</v>
      </c>
      <c r="B573" s="2">
        <v>45885</v>
      </c>
      <c r="C573" t="s">
        <v>1019</v>
      </c>
      <c r="D573" t="s">
        <v>410</v>
      </c>
      <c r="E573" t="s">
        <v>20</v>
      </c>
      <c r="F573">
        <v>10</v>
      </c>
      <c r="G573" s="3">
        <v>0.15</v>
      </c>
      <c r="H573" t="s">
        <v>14</v>
      </c>
      <c r="I573" t="s">
        <v>54</v>
      </c>
      <c r="J573" t="s">
        <v>21</v>
      </c>
    </row>
    <row r="574" spans="1:10" x14ac:dyDescent="0.45">
      <c r="A574" t="s">
        <v>1020</v>
      </c>
      <c r="B574" s="2">
        <v>45729</v>
      </c>
      <c r="C574" t="s">
        <v>945</v>
      </c>
      <c r="D574" t="s">
        <v>277</v>
      </c>
      <c r="E574" t="s">
        <v>47</v>
      </c>
      <c r="F574">
        <v>4</v>
      </c>
      <c r="G574" s="3">
        <v>0</v>
      </c>
      <c r="H574" t="s">
        <v>53</v>
      </c>
      <c r="I574" t="s">
        <v>54</v>
      </c>
      <c r="J574" t="s">
        <v>36</v>
      </c>
    </row>
    <row r="575" spans="1:10" x14ac:dyDescent="0.45">
      <c r="A575" t="s">
        <v>1021</v>
      </c>
      <c r="B575" s="2">
        <v>45867</v>
      </c>
      <c r="C575" t="s">
        <v>1022</v>
      </c>
      <c r="D575" t="s">
        <v>46</v>
      </c>
      <c r="E575" t="s">
        <v>144</v>
      </c>
      <c r="F575">
        <v>4</v>
      </c>
      <c r="G575" s="3">
        <v>0</v>
      </c>
      <c r="H575" t="s">
        <v>14</v>
      </c>
      <c r="I575" t="s">
        <v>15</v>
      </c>
      <c r="J575" t="s">
        <v>21</v>
      </c>
    </row>
    <row r="576" spans="1:10" x14ac:dyDescent="0.45">
      <c r="A576" t="s">
        <v>1023</v>
      </c>
      <c r="B576" s="2">
        <v>46092</v>
      </c>
      <c r="C576" t="s">
        <v>1024</v>
      </c>
      <c r="D576" t="s">
        <v>430</v>
      </c>
      <c r="E576" t="s">
        <v>218</v>
      </c>
      <c r="F576">
        <v>3</v>
      </c>
      <c r="G576" s="3">
        <v>0.05</v>
      </c>
      <c r="H576" t="s">
        <v>14</v>
      </c>
      <c r="I576" t="s">
        <v>15</v>
      </c>
      <c r="J576" t="s">
        <v>107</v>
      </c>
    </row>
    <row r="577" spans="1:10" x14ac:dyDescent="0.45">
      <c r="A577" t="s">
        <v>1025</v>
      </c>
      <c r="B577" s="2">
        <v>45739</v>
      </c>
      <c r="C577" t="s">
        <v>476</v>
      </c>
      <c r="D577" t="s">
        <v>312</v>
      </c>
      <c r="E577" t="s">
        <v>47</v>
      </c>
      <c r="F577">
        <v>6</v>
      </c>
      <c r="G577" s="3">
        <v>0.15</v>
      </c>
      <c r="H577" t="s">
        <v>14</v>
      </c>
      <c r="I577" t="s">
        <v>15</v>
      </c>
      <c r="J577" t="s">
        <v>21</v>
      </c>
    </row>
    <row r="578" spans="1:10" x14ac:dyDescent="0.45">
      <c r="A578" t="s">
        <v>1026</v>
      </c>
      <c r="B578" s="2">
        <v>46101</v>
      </c>
      <c r="C578" t="s">
        <v>229</v>
      </c>
      <c r="D578" t="s">
        <v>34</v>
      </c>
      <c r="E578" t="s">
        <v>111</v>
      </c>
      <c r="F578">
        <v>3</v>
      </c>
      <c r="G578" s="3">
        <v>0.2</v>
      </c>
      <c r="H578" t="s">
        <v>14</v>
      </c>
      <c r="I578" t="s">
        <v>15</v>
      </c>
      <c r="J578" t="s">
        <v>21</v>
      </c>
    </row>
    <row r="579" spans="1:10" x14ac:dyDescent="0.45">
      <c r="A579" t="s">
        <v>1027</v>
      </c>
      <c r="B579" s="2">
        <v>45814</v>
      </c>
      <c r="C579" t="s">
        <v>142</v>
      </c>
      <c r="D579" t="s">
        <v>391</v>
      </c>
      <c r="E579" t="s">
        <v>82</v>
      </c>
      <c r="F579">
        <v>9</v>
      </c>
      <c r="G579" s="3">
        <v>0.03</v>
      </c>
      <c r="H579" t="s">
        <v>14</v>
      </c>
      <c r="I579" t="s">
        <v>15</v>
      </c>
      <c r="J579" t="s">
        <v>21</v>
      </c>
    </row>
    <row r="580" spans="1:10" x14ac:dyDescent="0.45">
      <c r="A580" t="s">
        <v>1028</v>
      </c>
      <c r="B580" s="2">
        <v>46150</v>
      </c>
      <c r="C580" t="s">
        <v>653</v>
      </c>
      <c r="D580" t="s">
        <v>161</v>
      </c>
      <c r="E580" t="s">
        <v>52</v>
      </c>
      <c r="F580">
        <v>2</v>
      </c>
      <c r="G580" s="3">
        <v>0.1</v>
      </c>
      <c r="H580" t="s">
        <v>14</v>
      </c>
      <c r="I580" t="s">
        <v>15</v>
      </c>
      <c r="J580" t="s">
        <v>21</v>
      </c>
    </row>
    <row r="581" spans="1:10" x14ac:dyDescent="0.45">
      <c r="A581" t="s">
        <v>1029</v>
      </c>
      <c r="B581" s="2">
        <v>46170</v>
      </c>
      <c r="C581" t="s">
        <v>375</v>
      </c>
      <c r="D581" t="s">
        <v>256</v>
      </c>
      <c r="E581" t="s">
        <v>97</v>
      </c>
      <c r="F581">
        <v>12</v>
      </c>
      <c r="G581" s="3">
        <v>0.1</v>
      </c>
      <c r="H581" t="s">
        <v>14</v>
      </c>
      <c r="I581" t="s">
        <v>15</v>
      </c>
      <c r="J581" t="s">
        <v>107</v>
      </c>
    </row>
    <row r="582" spans="1:10" x14ac:dyDescent="0.45">
      <c r="A582" t="s">
        <v>1030</v>
      </c>
      <c r="B582" s="2">
        <v>46159</v>
      </c>
      <c r="C582" t="s">
        <v>315</v>
      </c>
      <c r="D582" t="s">
        <v>139</v>
      </c>
      <c r="E582" t="s">
        <v>136</v>
      </c>
      <c r="F582">
        <v>5</v>
      </c>
      <c r="G582" s="3">
        <v>0</v>
      </c>
      <c r="H582" t="s">
        <v>14</v>
      </c>
      <c r="I582" t="s">
        <v>48</v>
      </c>
      <c r="J582" t="s">
        <v>107</v>
      </c>
    </row>
    <row r="583" spans="1:10" x14ac:dyDescent="0.45">
      <c r="A583" t="s">
        <v>1031</v>
      </c>
      <c r="B583" s="2">
        <v>45824</v>
      </c>
      <c r="C583" t="s">
        <v>1032</v>
      </c>
      <c r="D583" t="s">
        <v>456</v>
      </c>
      <c r="E583" t="s">
        <v>197</v>
      </c>
      <c r="F583">
        <v>4</v>
      </c>
      <c r="G583" s="3">
        <v>0.15</v>
      </c>
      <c r="H583" t="s">
        <v>26</v>
      </c>
      <c r="I583" t="s">
        <v>27</v>
      </c>
      <c r="J583" t="s">
        <v>21</v>
      </c>
    </row>
    <row r="584" spans="1:10" x14ac:dyDescent="0.45">
      <c r="A584" t="s">
        <v>1033</v>
      </c>
      <c r="B584" s="2">
        <v>45717</v>
      </c>
      <c r="C584" t="s">
        <v>589</v>
      </c>
      <c r="D584" t="s">
        <v>139</v>
      </c>
      <c r="E584" t="s">
        <v>72</v>
      </c>
      <c r="F584">
        <v>11</v>
      </c>
      <c r="G584" s="3">
        <v>0.15</v>
      </c>
      <c r="H584" t="s">
        <v>26</v>
      </c>
      <c r="I584" t="s">
        <v>54</v>
      </c>
      <c r="J584" t="s">
        <v>21</v>
      </c>
    </row>
    <row r="585" spans="1:10" x14ac:dyDescent="0.45">
      <c r="A585" t="s">
        <v>1034</v>
      </c>
      <c r="B585" s="2">
        <v>45686</v>
      </c>
      <c r="C585" t="s">
        <v>1035</v>
      </c>
      <c r="D585" t="s">
        <v>202</v>
      </c>
      <c r="E585" t="s">
        <v>25</v>
      </c>
      <c r="F585">
        <v>12</v>
      </c>
      <c r="G585" s="3">
        <v>0.03</v>
      </c>
      <c r="H585" t="s">
        <v>14</v>
      </c>
      <c r="I585" t="s">
        <v>15</v>
      </c>
      <c r="J585" t="s">
        <v>107</v>
      </c>
    </row>
    <row r="586" spans="1:10" x14ac:dyDescent="0.45">
      <c r="A586" t="s">
        <v>1036</v>
      </c>
      <c r="B586" s="2">
        <v>45823</v>
      </c>
      <c r="C586" t="s">
        <v>220</v>
      </c>
      <c r="D586" t="s">
        <v>121</v>
      </c>
      <c r="E586" t="s">
        <v>218</v>
      </c>
      <c r="F586">
        <v>1</v>
      </c>
      <c r="G586" s="3">
        <v>0</v>
      </c>
      <c r="H586" t="s">
        <v>53</v>
      </c>
      <c r="I586" t="s">
        <v>15</v>
      </c>
      <c r="J586" t="s">
        <v>21</v>
      </c>
    </row>
    <row r="587" spans="1:10" x14ac:dyDescent="0.45">
      <c r="A587" t="s">
        <v>1037</v>
      </c>
      <c r="B587" s="2">
        <v>45851</v>
      </c>
      <c r="C587" t="s">
        <v>672</v>
      </c>
      <c r="D587" t="s">
        <v>241</v>
      </c>
      <c r="E587" t="s">
        <v>140</v>
      </c>
      <c r="F587">
        <v>7</v>
      </c>
      <c r="G587" s="3">
        <v>0.03</v>
      </c>
      <c r="H587" t="s">
        <v>53</v>
      </c>
      <c r="I587" t="s">
        <v>27</v>
      </c>
      <c r="J587" t="s">
        <v>59</v>
      </c>
    </row>
    <row r="588" spans="1:10" x14ac:dyDescent="0.45">
      <c r="A588" t="s">
        <v>1038</v>
      </c>
      <c r="B588" s="2">
        <v>46049</v>
      </c>
      <c r="C588" t="s">
        <v>704</v>
      </c>
      <c r="D588" t="s">
        <v>272</v>
      </c>
      <c r="E588" t="s">
        <v>20</v>
      </c>
      <c r="F588">
        <v>10</v>
      </c>
      <c r="G588" s="3">
        <v>0.08</v>
      </c>
      <c r="H588" t="s">
        <v>53</v>
      </c>
      <c r="I588" t="s">
        <v>48</v>
      </c>
      <c r="J588" t="s">
        <v>21</v>
      </c>
    </row>
    <row r="589" spans="1:10" x14ac:dyDescent="0.45">
      <c r="A589" t="s">
        <v>1039</v>
      </c>
      <c r="B589" s="2">
        <v>45933</v>
      </c>
      <c r="C589" t="s">
        <v>549</v>
      </c>
      <c r="D589" t="s">
        <v>170</v>
      </c>
      <c r="E589" t="s">
        <v>225</v>
      </c>
      <c r="F589">
        <v>12</v>
      </c>
      <c r="G589" s="3">
        <v>0.05</v>
      </c>
      <c r="H589" t="s">
        <v>26</v>
      </c>
      <c r="I589" t="s">
        <v>15</v>
      </c>
      <c r="J589" t="s">
        <v>59</v>
      </c>
    </row>
    <row r="590" spans="1:10" x14ac:dyDescent="0.45">
      <c r="A590" t="s">
        <v>1040</v>
      </c>
      <c r="B590" s="2">
        <v>45659</v>
      </c>
      <c r="C590" t="s">
        <v>945</v>
      </c>
      <c r="D590" t="s">
        <v>179</v>
      </c>
      <c r="E590" t="s">
        <v>47</v>
      </c>
      <c r="F590">
        <v>2</v>
      </c>
      <c r="G590" s="3">
        <v>0</v>
      </c>
      <c r="H590" t="s">
        <v>53</v>
      </c>
      <c r="I590" t="s">
        <v>15</v>
      </c>
      <c r="J590" t="s">
        <v>21</v>
      </c>
    </row>
    <row r="591" spans="1:10" x14ac:dyDescent="0.45">
      <c r="A591" t="s">
        <v>1041</v>
      </c>
      <c r="B591" s="2">
        <v>46099</v>
      </c>
      <c r="C591" t="s">
        <v>263</v>
      </c>
      <c r="D591" t="s">
        <v>106</v>
      </c>
      <c r="E591" t="s">
        <v>111</v>
      </c>
      <c r="F591">
        <v>3</v>
      </c>
      <c r="G591" s="3">
        <v>0.03</v>
      </c>
      <c r="H591" t="s">
        <v>14</v>
      </c>
      <c r="I591" t="s">
        <v>54</v>
      </c>
      <c r="J591" t="s">
        <v>21</v>
      </c>
    </row>
    <row r="592" spans="1:10" x14ac:dyDescent="0.45">
      <c r="A592" t="s">
        <v>1042</v>
      </c>
      <c r="B592" s="2">
        <v>46119</v>
      </c>
      <c r="C592" t="s">
        <v>828</v>
      </c>
      <c r="D592" t="s">
        <v>233</v>
      </c>
      <c r="E592" t="s">
        <v>31</v>
      </c>
      <c r="F592">
        <v>10</v>
      </c>
      <c r="G592" s="3">
        <v>0.05</v>
      </c>
      <c r="H592" t="s">
        <v>14</v>
      </c>
      <c r="I592" t="s">
        <v>48</v>
      </c>
      <c r="J592" t="s">
        <v>59</v>
      </c>
    </row>
    <row r="593" spans="1:10" x14ac:dyDescent="0.45">
      <c r="A593" t="s">
        <v>1043</v>
      </c>
      <c r="B593" s="2">
        <v>46076</v>
      </c>
      <c r="C593" t="s">
        <v>989</v>
      </c>
      <c r="D593" t="s">
        <v>71</v>
      </c>
      <c r="E593" t="s">
        <v>152</v>
      </c>
      <c r="F593">
        <v>8</v>
      </c>
      <c r="G593" s="3">
        <v>0</v>
      </c>
      <c r="H593" t="s">
        <v>53</v>
      </c>
      <c r="I593" t="s">
        <v>54</v>
      </c>
      <c r="J593" t="s">
        <v>21</v>
      </c>
    </row>
    <row r="594" spans="1:10" x14ac:dyDescent="0.45">
      <c r="A594" t="s">
        <v>1044</v>
      </c>
      <c r="B594" s="2">
        <v>45941</v>
      </c>
      <c r="C594" t="s">
        <v>927</v>
      </c>
      <c r="D594" t="s">
        <v>161</v>
      </c>
      <c r="E594" t="s">
        <v>31</v>
      </c>
      <c r="F594">
        <v>2</v>
      </c>
      <c r="G594" s="3">
        <v>0.1</v>
      </c>
      <c r="H594" t="s">
        <v>14</v>
      </c>
      <c r="I594" t="s">
        <v>54</v>
      </c>
      <c r="J594" t="s">
        <v>21</v>
      </c>
    </row>
    <row r="595" spans="1:10" x14ac:dyDescent="0.45">
      <c r="A595" t="s">
        <v>1045</v>
      </c>
      <c r="B595" s="2">
        <v>45720</v>
      </c>
      <c r="C595" t="s">
        <v>90</v>
      </c>
      <c r="D595" t="s">
        <v>143</v>
      </c>
      <c r="E595" t="s">
        <v>97</v>
      </c>
      <c r="F595">
        <v>5</v>
      </c>
      <c r="G595" s="3">
        <v>0</v>
      </c>
      <c r="H595" t="s">
        <v>53</v>
      </c>
      <c r="I595" t="s">
        <v>48</v>
      </c>
      <c r="J595" t="s">
        <v>21</v>
      </c>
    </row>
    <row r="596" spans="1:10" x14ac:dyDescent="0.45">
      <c r="A596" t="s">
        <v>1046</v>
      </c>
      <c r="B596" s="2">
        <v>46190</v>
      </c>
      <c r="C596" t="s">
        <v>96</v>
      </c>
      <c r="D596" t="s">
        <v>256</v>
      </c>
      <c r="E596" t="s">
        <v>136</v>
      </c>
      <c r="F596">
        <v>5</v>
      </c>
      <c r="G596" s="3">
        <v>0.2</v>
      </c>
      <c r="H596" t="s">
        <v>14</v>
      </c>
      <c r="I596" t="s">
        <v>27</v>
      </c>
      <c r="J596" t="s">
        <v>21</v>
      </c>
    </row>
    <row r="597" spans="1:10" x14ac:dyDescent="0.45">
      <c r="A597" t="s">
        <v>1047</v>
      </c>
      <c r="B597" s="2">
        <v>46009</v>
      </c>
      <c r="C597" t="s">
        <v>401</v>
      </c>
      <c r="D597" t="s">
        <v>139</v>
      </c>
      <c r="E597" t="s">
        <v>20</v>
      </c>
      <c r="F597">
        <v>6</v>
      </c>
      <c r="G597" s="3">
        <v>0.05</v>
      </c>
      <c r="H597" t="s">
        <v>26</v>
      </c>
      <c r="I597" t="s">
        <v>15</v>
      </c>
      <c r="J597" t="s">
        <v>21</v>
      </c>
    </row>
    <row r="598" spans="1:10" x14ac:dyDescent="0.45">
      <c r="A598" t="s">
        <v>1048</v>
      </c>
      <c r="B598" s="2">
        <v>45760</v>
      </c>
      <c r="C598" t="s">
        <v>1049</v>
      </c>
      <c r="D598" t="s">
        <v>158</v>
      </c>
      <c r="E598" t="s">
        <v>281</v>
      </c>
      <c r="F598">
        <v>1</v>
      </c>
      <c r="G598" s="3">
        <v>0.2</v>
      </c>
      <c r="H598" t="s">
        <v>53</v>
      </c>
      <c r="I598" t="s">
        <v>15</v>
      </c>
      <c r="J598" t="s">
        <v>59</v>
      </c>
    </row>
    <row r="599" spans="1:10" x14ac:dyDescent="0.45">
      <c r="A599" t="s">
        <v>1050</v>
      </c>
      <c r="B599" s="2">
        <v>45783</v>
      </c>
      <c r="C599" t="s">
        <v>903</v>
      </c>
      <c r="D599" t="s">
        <v>19</v>
      </c>
      <c r="E599" t="s">
        <v>82</v>
      </c>
      <c r="F599">
        <v>9</v>
      </c>
      <c r="G599" s="3">
        <v>0.08</v>
      </c>
      <c r="H599" t="s">
        <v>26</v>
      </c>
      <c r="I599" t="s">
        <v>54</v>
      </c>
      <c r="J599" t="s">
        <v>21</v>
      </c>
    </row>
    <row r="600" spans="1:10" x14ac:dyDescent="0.45">
      <c r="A600" t="s">
        <v>1051</v>
      </c>
      <c r="B600" s="2">
        <v>46081</v>
      </c>
      <c r="C600" t="s">
        <v>783</v>
      </c>
      <c r="D600" t="s">
        <v>280</v>
      </c>
      <c r="E600" t="s">
        <v>140</v>
      </c>
      <c r="F600">
        <v>11</v>
      </c>
      <c r="G600" s="3">
        <v>0.05</v>
      </c>
      <c r="H600" t="s">
        <v>14</v>
      </c>
      <c r="I600" t="s">
        <v>27</v>
      </c>
      <c r="J600" t="s">
        <v>21</v>
      </c>
    </row>
    <row r="601" spans="1:10" x14ac:dyDescent="0.45">
      <c r="A601" t="s">
        <v>1052</v>
      </c>
      <c r="B601" s="2">
        <v>45991</v>
      </c>
      <c r="C601" t="s">
        <v>181</v>
      </c>
      <c r="D601" t="s">
        <v>348</v>
      </c>
      <c r="E601" t="s">
        <v>111</v>
      </c>
      <c r="F601">
        <v>11</v>
      </c>
      <c r="G601" s="3">
        <v>0.2</v>
      </c>
      <c r="H601" t="s">
        <v>14</v>
      </c>
      <c r="I601" t="s">
        <v>15</v>
      </c>
      <c r="J601" t="s">
        <v>21</v>
      </c>
    </row>
    <row r="602" spans="1:10" x14ac:dyDescent="0.45">
      <c r="A602" t="s">
        <v>1053</v>
      </c>
      <c r="B602" s="2">
        <v>46096</v>
      </c>
      <c r="C602" t="s">
        <v>18</v>
      </c>
      <c r="D602" t="s">
        <v>241</v>
      </c>
      <c r="E602" t="s">
        <v>58</v>
      </c>
      <c r="F602">
        <v>8</v>
      </c>
      <c r="G602" s="3">
        <v>0</v>
      </c>
      <c r="H602" t="s">
        <v>53</v>
      </c>
      <c r="I602" t="s">
        <v>27</v>
      </c>
      <c r="J602" t="s">
        <v>21</v>
      </c>
    </row>
    <row r="603" spans="1:10" x14ac:dyDescent="0.45">
      <c r="A603" t="s">
        <v>1054</v>
      </c>
      <c r="B603" s="2">
        <v>46174</v>
      </c>
      <c r="C603" t="s">
        <v>422</v>
      </c>
      <c r="D603" t="s">
        <v>167</v>
      </c>
      <c r="E603" t="s">
        <v>140</v>
      </c>
      <c r="F603">
        <v>1</v>
      </c>
      <c r="G603" s="3">
        <v>0.03</v>
      </c>
      <c r="H603" t="s">
        <v>14</v>
      </c>
      <c r="I603" t="s">
        <v>48</v>
      </c>
      <c r="J603" t="s">
        <v>21</v>
      </c>
    </row>
    <row r="604" spans="1:10" x14ac:dyDescent="0.45">
      <c r="A604" t="s">
        <v>1055</v>
      </c>
      <c r="B604" s="2">
        <v>45830</v>
      </c>
      <c r="C604" t="s">
        <v>90</v>
      </c>
      <c r="D604" t="s">
        <v>43</v>
      </c>
      <c r="E604" t="s">
        <v>85</v>
      </c>
      <c r="F604">
        <v>8</v>
      </c>
      <c r="G604" s="3">
        <v>0</v>
      </c>
      <c r="H604" t="s">
        <v>14</v>
      </c>
      <c r="I604" t="s">
        <v>54</v>
      </c>
      <c r="J604" t="s">
        <v>21</v>
      </c>
    </row>
    <row r="605" spans="1:10" x14ac:dyDescent="0.45">
      <c r="A605" t="s">
        <v>1056</v>
      </c>
      <c r="B605" s="2">
        <v>46103</v>
      </c>
      <c r="C605" t="s">
        <v>322</v>
      </c>
      <c r="D605" t="s">
        <v>46</v>
      </c>
      <c r="E605" t="s">
        <v>31</v>
      </c>
      <c r="F605">
        <v>12</v>
      </c>
      <c r="G605" s="3">
        <v>0</v>
      </c>
      <c r="H605" t="s">
        <v>14</v>
      </c>
      <c r="I605" t="s">
        <v>27</v>
      </c>
      <c r="J605" t="s">
        <v>36</v>
      </c>
    </row>
    <row r="606" spans="1:10" x14ac:dyDescent="0.45">
      <c r="A606" t="s">
        <v>1057</v>
      </c>
      <c r="B606" s="2">
        <v>45921</v>
      </c>
      <c r="C606" t="s">
        <v>377</v>
      </c>
      <c r="D606" t="s">
        <v>205</v>
      </c>
      <c r="E606" t="s">
        <v>218</v>
      </c>
      <c r="F606">
        <v>11</v>
      </c>
      <c r="G606" s="3">
        <v>0.2</v>
      </c>
      <c r="H606" t="s">
        <v>26</v>
      </c>
      <c r="I606" t="s">
        <v>48</v>
      </c>
      <c r="J606" t="s">
        <v>21</v>
      </c>
    </row>
    <row r="607" spans="1:10" x14ac:dyDescent="0.45">
      <c r="A607" t="s">
        <v>1058</v>
      </c>
      <c r="B607" s="2">
        <v>45998</v>
      </c>
      <c r="C607" t="s">
        <v>338</v>
      </c>
      <c r="D607" t="s">
        <v>210</v>
      </c>
      <c r="E607" t="s">
        <v>127</v>
      </c>
      <c r="F607">
        <v>4</v>
      </c>
      <c r="G607" s="3">
        <v>0</v>
      </c>
      <c r="H607" t="s">
        <v>53</v>
      </c>
      <c r="I607" t="s">
        <v>15</v>
      </c>
      <c r="J607" t="s">
        <v>36</v>
      </c>
    </row>
    <row r="608" spans="1:10" x14ac:dyDescent="0.45">
      <c r="A608" t="s">
        <v>1059</v>
      </c>
      <c r="B608" s="2">
        <v>46105</v>
      </c>
      <c r="C608" t="s">
        <v>315</v>
      </c>
      <c r="D608" t="s">
        <v>161</v>
      </c>
      <c r="E608" t="s">
        <v>25</v>
      </c>
      <c r="F608">
        <v>4</v>
      </c>
      <c r="G608" s="3">
        <v>0.05</v>
      </c>
      <c r="H608" t="s">
        <v>14</v>
      </c>
      <c r="I608" t="s">
        <v>27</v>
      </c>
      <c r="J608" t="s">
        <v>21</v>
      </c>
    </row>
    <row r="609" spans="1:10" x14ac:dyDescent="0.45">
      <c r="A609" t="s">
        <v>1060</v>
      </c>
      <c r="B609" s="2">
        <v>45850</v>
      </c>
      <c r="C609" t="s">
        <v>1061</v>
      </c>
      <c r="D609" t="s">
        <v>57</v>
      </c>
      <c r="E609" t="s">
        <v>111</v>
      </c>
      <c r="F609">
        <v>12</v>
      </c>
      <c r="G609" s="3">
        <v>0</v>
      </c>
      <c r="H609" t="s">
        <v>14</v>
      </c>
      <c r="I609" t="s">
        <v>54</v>
      </c>
      <c r="J609" t="s">
        <v>36</v>
      </c>
    </row>
    <row r="610" spans="1:10" x14ac:dyDescent="0.45">
      <c r="A610" t="s">
        <v>1062</v>
      </c>
      <c r="B610" s="2">
        <v>45659</v>
      </c>
      <c r="C610" t="s">
        <v>443</v>
      </c>
      <c r="D610" t="s">
        <v>94</v>
      </c>
      <c r="E610" t="s">
        <v>111</v>
      </c>
      <c r="F610">
        <v>5</v>
      </c>
      <c r="G610" s="3">
        <v>0</v>
      </c>
      <c r="H610" t="s">
        <v>14</v>
      </c>
      <c r="I610" t="s">
        <v>54</v>
      </c>
      <c r="J610" t="s">
        <v>16</v>
      </c>
    </row>
    <row r="611" spans="1:10" x14ac:dyDescent="0.45">
      <c r="A611" t="s">
        <v>1063</v>
      </c>
      <c r="B611" s="2">
        <v>46031</v>
      </c>
      <c r="C611" t="s">
        <v>641</v>
      </c>
      <c r="D611" t="s">
        <v>88</v>
      </c>
      <c r="E611" t="s">
        <v>40</v>
      </c>
      <c r="F611">
        <v>11</v>
      </c>
      <c r="G611" s="3">
        <v>0.03</v>
      </c>
      <c r="H611" t="s">
        <v>14</v>
      </c>
      <c r="I611" t="s">
        <v>54</v>
      </c>
      <c r="J611" t="s">
        <v>21</v>
      </c>
    </row>
    <row r="612" spans="1:10" x14ac:dyDescent="0.45">
      <c r="A612" t="s">
        <v>1064</v>
      </c>
      <c r="B612" s="2">
        <v>45981</v>
      </c>
      <c r="C612" t="s">
        <v>839</v>
      </c>
      <c r="D612" t="s">
        <v>272</v>
      </c>
      <c r="E612" t="s">
        <v>85</v>
      </c>
      <c r="F612">
        <v>3</v>
      </c>
      <c r="G612" s="3">
        <v>0.08</v>
      </c>
      <c r="H612" t="s">
        <v>53</v>
      </c>
      <c r="I612" t="s">
        <v>15</v>
      </c>
      <c r="J612" t="s">
        <v>59</v>
      </c>
    </row>
    <row r="613" spans="1:10" x14ac:dyDescent="0.45">
      <c r="A613" t="s">
        <v>1065</v>
      </c>
      <c r="B613" s="2">
        <v>45807</v>
      </c>
      <c r="C613" t="s">
        <v>220</v>
      </c>
      <c r="D613" t="s">
        <v>81</v>
      </c>
      <c r="E613" t="s">
        <v>101</v>
      </c>
      <c r="F613">
        <v>12</v>
      </c>
      <c r="G613" s="3">
        <v>0</v>
      </c>
      <c r="H613" t="s">
        <v>14</v>
      </c>
      <c r="I613" t="s">
        <v>27</v>
      </c>
      <c r="J613" t="s">
        <v>21</v>
      </c>
    </row>
    <row r="614" spans="1:10" x14ac:dyDescent="0.45">
      <c r="A614" t="s">
        <v>1066</v>
      </c>
      <c r="B614" s="2">
        <v>46147</v>
      </c>
      <c r="C614" t="s">
        <v>29</v>
      </c>
      <c r="D614" t="s">
        <v>155</v>
      </c>
      <c r="E614" t="s">
        <v>152</v>
      </c>
      <c r="F614">
        <v>11</v>
      </c>
      <c r="G614" s="3">
        <v>0.05</v>
      </c>
      <c r="H614" t="s">
        <v>14</v>
      </c>
      <c r="I614" t="s">
        <v>15</v>
      </c>
      <c r="J614" t="s">
        <v>21</v>
      </c>
    </row>
    <row r="615" spans="1:10" x14ac:dyDescent="0.45">
      <c r="A615" t="s">
        <v>1067</v>
      </c>
      <c r="B615" s="2">
        <v>45873</v>
      </c>
      <c r="C615" t="s">
        <v>989</v>
      </c>
      <c r="D615" t="s">
        <v>148</v>
      </c>
      <c r="E615" t="s">
        <v>225</v>
      </c>
      <c r="F615">
        <v>12</v>
      </c>
      <c r="G615" s="3">
        <v>0.05</v>
      </c>
      <c r="H615" t="s">
        <v>53</v>
      </c>
      <c r="I615" t="s">
        <v>48</v>
      </c>
      <c r="J615" t="s">
        <v>36</v>
      </c>
    </row>
    <row r="616" spans="1:10" x14ac:dyDescent="0.45">
      <c r="A616" t="s">
        <v>1068</v>
      </c>
      <c r="B616" s="2">
        <v>46059</v>
      </c>
      <c r="C616" t="s">
        <v>342</v>
      </c>
      <c r="D616" t="s">
        <v>185</v>
      </c>
      <c r="E616" t="s">
        <v>47</v>
      </c>
      <c r="F616">
        <v>5</v>
      </c>
      <c r="G616" s="3">
        <v>0.03</v>
      </c>
      <c r="H616" t="s">
        <v>26</v>
      </c>
      <c r="I616" t="s">
        <v>15</v>
      </c>
      <c r="J616" t="s">
        <v>21</v>
      </c>
    </row>
    <row r="617" spans="1:10" x14ac:dyDescent="0.45">
      <c r="A617" t="s">
        <v>1069</v>
      </c>
      <c r="B617" s="2">
        <v>46058</v>
      </c>
      <c r="C617" t="s">
        <v>307</v>
      </c>
      <c r="D617" t="s">
        <v>280</v>
      </c>
      <c r="E617" t="s">
        <v>58</v>
      </c>
      <c r="F617">
        <v>7</v>
      </c>
      <c r="G617" s="3">
        <v>0</v>
      </c>
      <c r="H617" t="s">
        <v>14</v>
      </c>
      <c r="I617" t="s">
        <v>27</v>
      </c>
      <c r="J617" t="s">
        <v>21</v>
      </c>
    </row>
    <row r="618" spans="1:10" x14ac:dyDescent="0.45">
      <c r="A618" t="s">
        <v>1070</v>
      </c>
      <c r="B618" s="2">
        <v>45757</v>
      </c>
      <c r="C618" t="s">
        <v>947</v>
      </c>
      <c r="D618" t="s">
        <v>43</v>
      </c>
      <c r="E618" t="s">
        <v>136</v>
      </c>
      <c r="F618">
        <v>3</v>
      </c>
      <c r="G618" s="3">
        <v>0.1</v>
      </c>
      <c r="H618" t="s">
        <v>53</v>
      </c>
      <c r="I618" t="s">
        <v>48</v>
      </c>
      <c r="J618" t="s">
        <v>16</v>
      </c>
    </row>
    <row r="619" spans="1:10" x14ac:dyDescent="0.45">
      <c r="A619" t="s">
        <v>1071</v>
      </c>
      <c r="B619" s="2">
        <v>45825</v>
      </c>
      <c r="C619" t="s">
        <v>420</v>
      </c>
      <c r="D619" t="s">
        <v>391</v>
      </c>
      <c r="E619" t="s">
        <v>85</v>
      </c>
      <c r="F619">
        <v>10</v>
      </c>
      <c r="G619" s="3">
        <v>0.03</v>
      </c>
      <c r="H619" t="s">
        <v>14</v>
      </c>
      <c r="I619" t="s">
        <v>15</v>
      </c>
      <c r="J619" t="s">
        <v>21</v>
      </c>
    </row>
    <row r="620" spans="1:10" x14ac:dyDescent="0.45">
      <c r="A620" t="s">
        <v>1072</v>
      </c>
      <c r="B620" s="2">
        <v>45858</v>
      </c>
      <c r="C620" t="s">
        <v>684</v>
      </c>
      <c r="D620" t="s">
        <v>249</v>
      </c>
      <c r="E620" t="s">
        <v>115</v>
      </c>
      <c r="F620">
        <v>12</v>
      </c>
      <c r="G620" s="3">
        <v>0</v>
      </c>
      <c r="H620" t="s">
        <v>14</v>
      </c>
      <c r="I620" t="s">
        <v>48</v>
      </c>
      <c r="J620" t="s">
        <v>59</v>
      </c>
    </row>
    <row r="621" spans="1:10" x14ac:dyDescent="0.45">
      <c r="A621" t="s">
        <v>1073</v>
      </c>
      <c r="B621" s="2">
        <v>45830</v>
      </c>
      <c r="C621" t="s">
        <v>220</v>
      </c>
      <c r="D621" t="s">
        <v>161</v>
      </c>
      <c r="E621" t="s">
        <v>13</v>
      </c>
      <c r="F621">
        <v>1</v>
      </c>
      <c r="G621" s="3">
        <v>0</v>
      </c>
      <c r="H621" t="s">
        <v>14</v>
      </c>
      <c r="I621" t="s">
        <v>15</v>
      </c>
      <c r="J621" t="s">
        <v>21</v>
      </c>
    </row>
    <row r="622" spans="1:10" x14ac:dyDescent="0.45">
      <c r="A622" t="s">
        <v>1074</v>
      </c>
      <c r="B622" s="2">
        <v>46004</v>
      </c>
      <c r="C622" t="s">
        <v>350</v>
      </c>
      <c r="D622" t="s">
        <v>155</v>
      </c>
      <c r="E622" t="s">
        <v>140</v>
      </c>
      <c r="F622">
        <v>10</v>
      </c>
      <c r="G622" s="3">
        <v>0.15</v>
      </c>
      <c r="H622" t="s">
        <v>26</v>
      </c>
      <c r="I622" t="s">
        <v>15</v>
      </c>
      <c r="J622" t="s">
        <v>21</v>
      </c>
    </row>
    <row r="623" spans="1:10" x14ac:dyDescent="0.45">
      <c r="A623" t="s">
        <v>1075</v>
      </c>
      <c r="B623" s="2">
        <v>46158</v>
      </c>
      <c r="C623" t="s">
        <v>243</v>
      </c>
      <c r="D623" t="s">
        <v>283</v>
      </c>
      <c r="E623" t="s">
        <v>136</v>
      </c>
      <c r="F623">
        <v>5</v>
      </c>
      <c r="G623" s="3">
        <v>0.03</v>
      </c>
      <c r="H623" t="s">
        <v>53</v>
      </c>
      <c r="I623" t="s">
        <v>15</v>
      </c>
      <c r="J623" t="s">
        <v>16</v>
      </c>
    </row>
    <row r="624" spans="1:10" x14ac:dyDescent="0.45">
      <c r="A624" t="s">
        <v>1076</v>
      </c>
      <c r="B624" s="2">
        <v>46132</v>
      </c>
      <c r="C624" t="s">
        <v>163</v>
      </c>
      <c r="D624" t="s">
        <v>46</v>
      </c>
      <c r="E624" t="s">
        <v>40</v>
      </c>
      <c r="F624">
        <v>11</v>
      </c>
      <c r="G624" s="3">
        <v>0.15</v>
      </c>
      <c r="H624" t="s">
        <v>14</v>
      </c>
      <c r="I624" t="s">
        <v>15</v>
      </c>
      <c r="J624" t="s">
        <v>21</v>
      </c>
    </row>
    <row r="625" spans="1:10" x14ac:dyDescent="0.45">
      <c r="A625" t="s">
        <v>1077</v>
      </c>
      <c r="B625" s="2">
        <v>45782</v>
      </c>
      <c r="C625" t="s">
        <v>595</v>
      </c>
      <c r="D625" t="s">
        <v>646</v>
      </c>
      <c r="E625" t="s">
        <v>127</v>
      </c>
      <c r="F625">
        <v>8</v>
      </c>
      <c r="G625" s="3">
        <v>0.05</v>
      </c>
      <c r="H625" t="s">
        <v>14</v>
      </c>
      <c r="I625" t="s">
        <v>15</v>
      </c>
      <c r="J625" t="s">
        <v>21</v>
      </c>
    </row>
    <row r="626" spans="1:10" x14ac:dyDescent="0.45">
      <c r="A626" t="s">
        <v>1078</v>
      </c>
      <c r="B626" s="2">
        <v>45843</v>
      </c>
      <c r="C626" t="s">
        <v>1079</v>
      </c>
      <c r="D626" t="s">
        <v>143</v>
      </c>
      <c r="E626" t="s">
        <v>197</v>
      </c>
      <c r="F626">
        <v>7</v>
      </c>
      <c r="G626" s="3">
        <v>0.2</v>
      </c>
      <c r="H626" t="s">
        <v>26</v>
      </c>
      <c r="I626" t="s">
        <v>15</v>
      </c>
      <c r="J626" t="s">
        <v>21</v>
      </c>
    </row>
    <row r="627" spans="1:10" x14ac:dyDescent="0.45">
      <c r="A627" t="s">
        <v>1080</v>
      </c>
      <c r="B627" s="2">
        <v>45723</v>
      </c>
      <c r="C627" t="s">
        <v>1022</v>
      </c>
      <c r="D627" t="s">
        <v>143</v>
      </c>
      <c r="E627" t="s">
        <v>281</v>
      </c>
      <c r="F627">
        <v>12</v>
      </c>
      <c r="G627" s="3">
        <v>0.03</v>
      </c>
      <c r="H627" t="s">
        <v>14</v>
      </c>
      <c r="I627" t="s">
        <v>48</v>
      </c>
      <c r="J627" t="s">
        <v>21</v>
      </c>
    </row>
    <row r="628" spans="1:10" x14ac:dyDescent="0.45">
      <c r="A628" t="s">
        <v>1081</v>
      </c>
      <c r="B628" s="2">
        <v>46158</v>
      </c>
      <c r="C628" t="s">
        <v>524</v>
      </c>
      <c r="D628" t="s">
        <v>272</v>
      </c>
      <c r="E628" t="s">
        <v>140</v>
      </c>
      <c r="F628">
        <v>2</v>
      </c>
      <c r="G628" s="3">
        <v>0</v>
      </c>
      <c r="H628" t="s">
        <v>53</v>
      </c>
      <c r="I628" t="s">
        <v>54</v>
      </c>
      <c r="J628" t="s">
        <v>107</v>
      </c>
    </row>
    <row r="629" spans="1:10" x14ac:dyDescent="0.45">
      <c r="A629" t="s">
        <v>1082</v>
      </c>
      <c r="B629" s="2">
        <v>45842</v>
      </c>
      <c r="C629" t="s">
        <v>243</v>
      </c>
      <c r="D629" t="s">
        <v>439</v>
      </c>
      <c r="E629" t="s">
        <v>82</v>
      </c>
      <c r="F629">
        <v>1</v>
      </c>
      <c r="G629" s="3">
        <v>0.2</v>
      </c>
      <c r="H629" t="s">
        <v>53</v>
      </c>
      <c r="I629" t="s">
        <v>48</v>
      </c>
      <c r="J629" t="s">
        <v>21</v>
      </c>
    </row>
    <row r="630" spans="1:10" x14ac:dyDescent="0.45">
      <c r="A630" t="s">
        <v>1083</v>
      </c>
      <c r="B630" s="2">
        <v>45823</v>
      </c>
      <c r="C630" t="s">
        <v>150</v>
      </c>
      <c r="D630" t="s">
        <v>249</v>
      </c>
      <c r="E630" t="s">
        <v>25</v>
      </c>
      <c r="F630">
        <v>2</v>
      </c>
      <c r="G630" s="3">
        <v>0.08</v>
      </c>
      <c r="H630" t="s">
        <v>53</v>
      </c>
      <c r="I630" t="s">
        <v>48</v>
      </c>
      <c r="J630" t="s">
        <v>21</v>
      </c>
    </row>
    <row r="631" spans="1:10" x14ac:dyDescent="0.45">
      <c r="A631" t="s">
        <v>1084</v>
      </c>
      <c r="B631" s="2">
        <v>46030</v>
      </c>
      <c r="C631" t="s">
        <v>1032</v>
      </c>
      <c r="D631" t="s">
        <v>233</v>
      </c>
      <c r="E631" t="s">
        <v>101</v>
      </c>
      <c r="F631">
        <v>9</v>
      </c>
      <c r="G631" s="3">
        <v>0.03</v>
      </c>
      <c r="H631" t="s">
        <v>14</v>
      </c>
      <c r="I631" t="s">
        <v>48</v>
      </c>
      <c r="J631" t="s">
        <v>21</v>
      </c>
    </row>
    <row r="632" spans="1:10" x14ac:dyDescent="0.45">
      <c r="A632" t="s">
        <v>1085</v>
      </c>
      <c r="B632" s="2">
        <v>46113</v>
      </c>
      <c r="C632" t="s">
        <v>1086</v>
      </c>
      <c r="D632" t="s">
        <v>126</v>
      </c>
      <c r="E632" t="s">
        <v>101</v>
      </c>
      <c r="F632">
        <v>3</v>
      </c>
      <c r="G632" s="3">
        <v>0.2</v>
      </c>
      <c r="H632" t="s">
        <v>53</v>
      </c>
      <c r="I632" t="s">
        <v>27</v>
      </c>
      <c r="J632" t="s">
        <v>21</v>
      </c>
    </row>
    <row r="633" spans="1:10" x14ac:dyDescent="0.45">
      <c r="A633" t="s">
        <v>1087</v>
      </c>
      <c r="B633" s="2">
        <v>45759</v>
      </c>
      <c r="C633" t="s">
        <v>666</v>
      </c>
      <c r="D633" t="s">
        <v>249</v>
      </c>
      <c r="E633" t="s">
        <v>72</v>
      </c>
      <c r="F633">
        <v>11</v>
      </c>
      <c r="G633" s="3">
        <v>0</v>
      </c>
      <c r="H633" t="s">
        <v>14</v>
      </c>
      <c r="I633" t="s">
        <v>54</v>
      </c>
      <c r="J633" t="s">
        <v>21</v>
      </c>
    </row>
    <row r="634" spans="1:10" x14ac:dyDescent="0.45">
      <c r="A634" t="s">
        <v>1088</v>
      </c>
      <c r="B634" s="2">
        <v>45879</v>
      </c>
      <c r="C634" t="s">
        <v>1089</v>
      </c>
      <c r="D634" t="s">
        <v>182</v>
      </c>
      <c r="E634" t="s">
        <v>82</v>
      </c>
      <c r="F634">
        <v>10</v>
      </c>
      <c r="G634" s="3">
        <v>0.1</v>
      </c>
      <c r="H634" t="s">
        <v>14</v>
      </c>
      <c r="I634" t="s">
        <v>15</v>
      </c>
      <c r="J634" t="s">
        <v>21</v>
      </c>
    </row>
    <row r="635" spans="1:10" x14ac:dyDescent="0.45">
      <c r="A635" t="s">
        <v>1090</v>
      </c>
      <c r="B635" s="2">
        <v>45825</v>
      </c>
      <c r="C635" t="s">
        <v>1091</v>
      </c>
      <c r="D635" t="s">
        <v>24</v>
      </c>
      <c r="E635" t="s">
        <v>136</v>
      </c>
      <c r="F635">
        <v>7</v>
      </c>
      <c r="G635" s="3">
        <v>0.2</v>
      </c>
      <c r="H635" t="s">
        <v>14</v>
      </c>
      <c r="I635" t="s">
        <v>27</v>
      </c>
      <c r="J635" t="s">
        <v>59</v>
      </c>
    </row>
    <row r="636" spans="1:10" x14ac:dyDescent="0.45">
      <c r="A636" t="s">
        <v>1092</v>
      </c>
      <c r="B636" s="2">
        <v>45866</v>
      </c>
      <c r="C636" t="s">
        <v>696</v>
      </c>
      <c r="D636" t="s">
        <v>167</v>
      </c>
      <c r="E636" t="s">
        <v>52</v>
      </c>
      <c r="F636">
        <v>2</v>
      </c>
      <c r="G636" s="3">
        <v>0.08</v>
      </c>
      <c r="H636" t="s">
        <v>26</v>
      </c>
      <c r="I636" t="s">
        <v>54</v>
      </c>
      <c r="J636" t="s">
        <v>59</v>
      </c>
    </row>
    <row r="637" spans="1:10" x14ac:dyDescent="0.45">
      <c r="A637" t="s">
        <v>1093</v>
      </c>
      <c r="B637" s="2">
        <v>45825</v>
      </c>
      <c r="C637" t="s">
        <v>384</v>
      </c>
      <c r="D637" t="s">
        <v>118</v>
      </c>
      <c r="E637" t="s">
        <v>82</v>
      </c>
      <c r="F637">
        <v>7</v>
      </c>
      <c r="G637" s="3">
        <v>0.03</v>
      </c>
      <c r="H637" t="s">
        <v>14</v>
      </c>
      <c r="I637" t="s">
        <v>15</v>
      </c>
      <c r="J637" t="s">
        <v>21</v>
      </c>
    </row>
    <row r="638" spans="1:10" x14ac:dyDescent="0.45">
      <c r="A638" t="s">
        <v>1094</v>
      </c>
      <c r="B638" s="2">
        <v>45934</v>
      </c>
      <c r="C638" t="s">
        <v>1095</v>
      </c>
      <c r="D638" t="s">
        <v>410</v>
      </c>
      <c r="E638" t="s">
        <v>127</v>
      </c>
      <c r="F638">
        <v>2</v>
      </c>
      <c r="G638" s="3">
        <v>0</v>
      </c>
      <c r="H638" t="s">
        <v>53</v>
      </c>
      <c r="I638" t="s">
        <v>15</v>
      </c>
      <c r="J638" t="s">
        <v>21</v>
      </c>
    </row>
    <row r="639" spans="1:10" x14ac:dyDescent="0.45">
      <c r="A639" t="s">
        <v>1096</v>
      </c>
      <c r="B639" s="2">
        <v>45999</v>
      </c>
      <c r="C639" t="s">
        <v>371</v>
      </c>
      <c r="D639" t="s">
        <v>46</v>
      </c>
      <c r="E639" t="s">
        <v>58</v>
      </c>
      <c r="F639">
        <v>5</v>
      </c>
      <c r="G639" s="3">
        <v>0.03</v>
      </c>
      <c r="H639" t="s">
        <v>53</v>
      </c>
      <c r="I639" t="s">
        <v>54</v>
      </c>
      <c r="J639" t="s">
        <v>21</v>
      </c>
    </row>
    <row r="640" spans="1:10" x14ac:dyDescent="0.45">
      <c r="A640" t="s">
        <v>1097</v>
      </c>
      <c r="B640" s="2">
        <v>46045</v>
      </c>
      <c r="C640" t="s">
        <v>855</v>
      </c>
      <c r="D640" t="s">
        <v>161</v>
      </c>
      <c r="E640" t="s">
        <v>218</v>
      </c>
      <c r="F640">
        <v>2</v>
      </c>
      <c r="G640" s="3">
        <v>0</v>
      </c>
      <c r="H640" t="s">
        <v>14</v>
      </c>
      <c r="I640" t="s">
        <v>27</v>
      </c>
      <c r="J640" t="s">
        <v>21</v>
      </c>
    </row>
    <row r="641" spans="1:10" x14ac:dyDescent="0.45">
      <c r="A641" t="s">
        <v>1098</v>
      </c>
      <c r="B641" s="2">
        <v>46199</v>
      </c>
      <c r="C641" t="s">
        <v>921</v>
      </c>
      <c r="D641" t="s">
        <v>210</v>
      </c>
      <c r="E641" t="s">
        <v>31</v>
      </c>
      <c r="F641">
        <v>6</v>
      </c>
      <c r="G641" s="3">
        <v>0.08</v>
      </c>
      <c r="H641" t="s">
        <v>14</v>
      </c>
      <c r="I641" t="s">
        <v>48</v>
      </c>
      <c r="J641" t="s">
        <v>36</v>
      </c>
    </row>
    <row r="642" spans="1:10" x14ac:dyDescent="0.45">
      <c r="A642" t="s">
        <v>1099</v>
      </c>
      <c r="B642" s="2">
        <v>46056</v>
      </c>
      <c r="C642" t="s">
        <v>322</v>
      </c>
      <c r="D642" t="s">
        <v>88</v>
      </c>
      <c r="E642" t="s">
        <v>40</v>
      </c>
      <c r="F642">
        <v>3</v>
      </c>
      <c r="G642" s="3">
        <v>0.1</v>
      </c>
      <c r="H642" t="s">
        <v>53</v>
      </c>
      <c r="I642" t="s">
        <v>15</v>
      </c>
      <c r="J642" t="s">
        <v>21</v>
      </c>
    </row>
    <row r="643" spans="1:10" x14ac:dyDescent="0.45">
      <c r="A643" t="s">
        <v>1100</v>
      </c>
      <c r="B643" s="2">
        <v>46183</v>
      </c>
      <c r="C643" t="s">
        <v>800</v>
      </c>
      <c r="D643" t="s">
        <v>24</v>
      </c>
      <c r="E643" t="s">
        <v>97</v>
      </c>
      <c r="F643">
        <v>12</v>
      </c>
      <c r="G643" s="3">
        <v>0.03</v>
      </c>
      <c r="H643" t="s">
        <v>53</v>
      </c>
      <c r="I643" t="s">
        <v>54</v>
      </c>
      <c r="J643" t="s">
        <v>21</v>
      </c>
    </row>
    <row r="644" spans="1:10" x14ac:dyDescent="0.45">
      <c r="A644" t="s">
        <v>1101</v>
      </c>
      <c r="B644" s="2">
        <v>46037</v>
      </c>
      <c r="C644" t="s">
        <v>346</v>
      </c>
      <c r="D644" t="s">
        <v>312</v>
      </c>
      <c r="E644" t="s">
        <v>35</v>
      </c>
      <c r="F644">
        <v>12</v>
      </c>
      <c r="G644" s="3">
        <v>0.05</v>
      </c>
      <c r="H644" t="s">
        <v>53</v>
      </c>
      <c r="I644" t="s">
        <v>15</v>
      </c>
      <c r="J644" t="s">
        <v>59</v>
      </c>
    </row>
    <row r="645" spans="1:10" x14ac:dyDescent="0.45">
      <c r="A645" t="s">
        <v>1102</v>
      </c>
      <c r="B645" s="2">
        <v>46137</v>
      </c>
      <c r="C645" t="s">
        <v>828</v>
      </c>
      <c r="D645" t="s">
        <v>500</v>
      </c>
      <c r="E645" t="s">
        <v>58</v>
      </c>
      <c r="F645">
        <v>9</v>
      </c>
      <c r="G645" s="3">
        <v>0.08</v>
      </c>
      <c r="H645" t="s">
        <v>14</v>
      </c>
      <c r="I645" t="s">
        <v>15</v>
      </c>
      <c r="J645" t="s">
        <v>21</v>
      </c>
    </row>
    <row r="646" spans="1:10" x14ac:dyDescent="0.45">
      <c r="A646" t="s">
        <v>1103</v>
      </c>
      <c r="B646" s="2">
        <v>45747</v>
      </c>
      <c r="C646" t="s">
        <v>67</v>
      </c>
      <c r="D646" t="s">
        <v>151</v>
      </c>
      <c r="E646" t="s">
        <v>101</v>
      </c>
      <c r="F646">
        <v>5</v>
      </c>
      <c r="G646" s="3">
        <v>0.15</v>
      </c>
      <c r="H646" t="s">
        <v>53</v>
      </c>
      <c r="I646" t="s">
        <v>48</v>
      </c>
      <c r="J646" t="s">
        <v>21</v>
      </c>
    </row>
    <row r="647" spans="1:10" x14ac:dyDescent="0.45">
      <c r="A647" t="s">
        <v>1104</v>
      </c>
      <c r="B647" s="2">
        <v>45827</v>
      </c>
      <c r="C647" t="s">
        <v>551</v>
      </c>
      <c r="D647" t="s">
        <v>283</v>
      </c>
      <c r="E647" t="s">
        <v>127</v>
      </c>
      <c r="F647">
        <v>10</v>
      </c>
      <c r="G647" s="3">
        <v>0</v>
      </c>
      <c r="H647" t="s">
        <v>14</v>
      </c>
      <c r="I647" t="s">
        <v>27</v>
      </c>
      <c r="J647" t="s">
        <v>21</v>
      </c>
    </row>
    <row r="648" spans="1:10" x14ac:dyDescent="0.45">
      <c r="A648" t="s">
        <v>1105</v>
      </c>
      <c r="B648" s="2">
        <v>46178</v>
      </c>
      <c r="C648" t="s">
        <v>712</v>
      </c>
      <c r="D648" t="s">
        <v>110</v>
      </c>
      <c r="E648" t="s">
        <v>13</v>
      </c>
      <c r="F648">
        <v>12</v>
      </c>
      <c r="G648" s="3">
        <v>0.03</v>
      </c>
      <c r="H648" t="s">
        <v>14</v>
      </c>
      <c r="I648" t="s">
        <v>48</v>
      </c>
      <c r="J648" t="s">
        <v>21</v>
      </c>
    </row>
    <row r="649" spans="1:10" x14ac:dyDescent="0.45">
      <c r="A649" t="s">
        <v>1106</v>
      </c>
      <c r="B649" s="2">
        <v>45665</v>
      </c>
      <c r="C649" t="s">
        <v>1014</v>
      </c>
      <c r="D649" t="s">
        <v>71</v>
      </c>
      <c r="E649" t="s">
        <v>111</v>
      </c>
      <c r="F649">
        <v>12</v>
      </c>
      <c r="G649" s="3">
        <v>0.15</v>
      </c>
      <c r="H649" t="s">
        <v>53</v>
      </c>
      <c r="I649" t="s">
        <v>27</v>
      </c>
      <c r="J649" t="s">
        <v>21</v>
      </c>
    </row>
    <row r="650" spans="1:10" x14ac:dyDescent="0.45">
      <c r="A650" t="s">
        <v>1107</v>
      </c>
      <c r="B650" s="2">
        <v>45701</v>
      </c>
      <c r="C650" t="s">
        <v>1108</v>
      </c>
      <c r="D650" t="s">
        <v>404</v>
      </c>
      <c r="E650" t="s">
        <v>20</v>
      </c>
      <c r="F650">
        <v>10</v>
      </c>
      <c r="G650" s="3">
        <v>0.2</v>
      </c>
      <c r="H650" t="s">
        <v>26</v>
      </c>
      <c r="I650" t="s">
        <v>54</v>
      </c>
      <c r="J650" t="s">
        <v>21</v>
      </c>
    </row>
    <row r="651" spans="1:10" x14ac:dyDescent="0.45">
      <c r="A651" t="s">
        <v>1109</v>
      </c>
      <c r="B651" s="2">
        <v>46019</v>
      </c>
      <c r="C651" t="s">
        <v>638</v>
      </c>
      <c r="D651" t="s">
        <v>182</v>
      </c>
      <c r="E651" t="s">
        <v>140</v>
      </c>
      <c r="F651">
        <v>1</v>
      </c>
      <c r="G651" s="3">
        <v>0.15</v>
      </c>
      <c r="H651" t="s">
        <v>14</v>
      </c>
      <c r="I651" t="s">
        <v>54</v>
      </c>
      <c r="J651" t="s">
        <v>21</v>
      </c>
    </row>
    <row r="652" spans="1:10" x14ac:dyDescent="0.45">
      <c r="A652" t="s">
        <v>1110</v>
      </c>
      <c r="B652" s="2">
        <v>45913</v>
      </c>
      <c r="C652" t="s">
        <v>553</v>
      </c>
      <c r="D652" t="s">
        <v>57</v>
      </c>
      <c r="E652" t="s">
        <v>20</v>
      </c>
      <c r="F652">
        <v>9</v>
      </c>
      <c r="G652" s="3">
        <v>0</v>
      </c>
      <c r="H652" t="s">
        <v>14</v>
      </c>
      <c r="I652" t="s">
        <v>15</v>
      </c>
      <c r="J652" t="s">
        <v>21</v>
      </c>
    </row>
    <row r="653" spans="1:10" x14ac:dyDescent="0.45">
      <c r="A653" t="s">
        <v>1111</v>
      </c>
      <c r="B653" s="2">
        <v>46061</v>
      </c>
      <c r="C653" t="s">
        <v>1112</v>
      </c>
      <c r="D653" t="s">
        <v>256</v>
      </c>
      <c r="E653" t="s">
        <v>111</v>
      </c>
      <c r="F653">
        <v>4</v>
      </c>
      <c r="G653" s="3">
        <v>0.08</v>
      </c>
      <c r="H653" t="s">
        <v>26</v>
      </c>
      <c r="I653" t="s">
        <v>48</v>
      </c>
      <c r="J653" t="s">
        <v>36</v>
      </c>
    </row>
    <row r="654" spans="1:10" x14ac:dyDescent="0.45">
      <c r="A654" t="s">
        <v>1113</v>
      </c>
      <c r="B654" s="2">
        <v>46022</v>
      </c>
      <c r="C654" t="s">
        <v>783</v>
      </c>
      <c r="D654" t="s">
        <v>210</v>
      </c>
      <c r="E654" t="s">
        <v>35</v>
      </c>
      <c r="F654">
        <v>1</v>
      </c>
      <c r="G654" s="3">
        <v>0.2</v>
      </c>
      <c r="H654" t="s">
        <v>14</v>
      </c>
      <c r="I654" t="s">
        <v>27</v>
      </c>
      <c r="J654" t="s">
        <v>21</v>
      </c>
    </row>
    <row r="655" spans="1:10" x14ac:dyDescent="0.45">
      <c r="A655" t="s">
        <v>1114</v>
      </c>
      <c r="B655" s="2">
        <v>46021</v>
      </c>
      <c r="C655" t="s">
        <v>514</v>
      </c>
      <c r="D655" t="s">
        <v>439</v>
      </c>
      <c r="E655" t="s">
        <v>136</v>
      </c>
      <c r="F655">
        <v>1</v>
      </c>
      <c r="G655" s="3">
        <v>0</v>
      </c>
      <c r="H655" t="s">
        <v>14</v>
      </c>
      <c r="I655" t="s">
        <v>54</v>
      </c>
      <c r="J655" t="s">
        <v>21</v>
      </c>
    </row>
    <row r="656" spans="1:10" x14ac:dyDescent="0.45">
      <c r="A656" t="s">
        <v>1115</v>
      </c>
      <c r="B656" s="2">
        <v>45784</v>
      </c>
      <c r="C656" t="s">
        <v>749</v>
      </c>
      <c r="D656" t="s">
        <v>246</v>
      </c>
      <c r="E656" t="s">
        <v>13</v>
      </c>
      <c r="F656">
        <v>8</v>
      </c>
      <c r="G656" s="3">
        <v>0</v>
      </c>
      <c r="H656" t="s">
        <v>14</v>
      </c>
      <c r="I656" t="s">
        <v>27</v>
      </c>
      <c r="J656" t="s">
        <v>21</v>
      </c>
    </row>
    <row r="657" spans="1:10" x14ac:dyDescent="0.45">
      <c r="A657" t="s">
        <v>1116</v>
      </c>
      <c r="B657" s="2">
        <v>46031</v>
      </c>
      <c r="C657" t="s">
        <v>718</v>
      </c>
      <c r="D657" t="s">
        <v>139</v>
      </c>
      <c r="E657" t="s">
        <v>101</v>
      </c>
      <c r="F657">
        <v>7</v>
      </c>
      <c r="G657" s="3">
        <v>0.03</v>
      </c>
      <c r="H657" t="s">
        <v>14</v>
      </c>
      <c r="I657" t="s">
        <v>27</v>
      </c>
      <c r="J657" t="s">
        <v>21</v>
      </c>
    </row>
    <row r="658" spans="1:10" x14ac:dyDescent="0.45">
      <c r="A658" t="s">
        <v>1117</v>
      </c>
      <c r="B658" s="2">
        <v>45801</v>
      </c>
      <c r="C658" t="s">
        <v>160</v>
      </c>
      <c r="D658" t="s">
        <v>500</v>
      </c>
      <c r="E658" t="s">
        <v>144</v>
      </c>
      <c r="F658">
        <v>6</v>
      </c>
      <c r="G658" s="3">
        <v>0.15</v>
      </c>
      <c r="H658" t="s">
        <v>14</v>
      </c>
      <c r="I658" t="s">
        <v>54</v>
      </c>
      <c r="J658" t="s">
        <v>21</v>
      </c>
    </row>
    <row r="659" spans="1:10" x14ac:dyDescent="0.45">
      <c r="A659" t="s">
        <v>1118</v>
      </c>
      <c r="B659" s="2">
        <v>46062</v>
      </c>
      <c r="C659" t="s">
        <v>653</v>
      </c>
      <c r="D659" t="s">
        <v>348</v>
      </c>
      <c r="E659" t="s">
        <v>225</v>
      </c>
      <c r="F659">
        <v>7</v>
      </c>
      <c r="G659" s="3">
        <v>0.1</v>
      </c>
      <c r="H659" t="s">
        <v>26</v>
      </c>
      <c r="I659" t="s">
        <v>54</v>
      </c>
      <c r="J659" t="s">
        <v>21</v>
      </c>
    </row>
    <row r="660" spans="1:10" x14ac:dyDescent="0.45">
      <c r="A660" t="s">
        <v>1119</v>
      </c>
      <c r="B660" s="2">
        <v>46089</v>
      </c>
      <c r="C660" t="s">
        <v>1120</v>
      </c>
      <c r="D660" t="s">
        <v>312</v>
      </c>
      <c r="E660" t="s">
        <v>31</v>
      </c>
      <c r="F660">
        <v>8</v>
      </c>
      <c r="G660" s="3">
        <v>0.2</v>
      </c>
      <c r="H660" t="s">
        <v>53</v>
      </c>
      <c r="I660" t="s">
        <v>54</v>
      </c>
      <c r="J660" t="s">
        <v>21</v>
      </c>
    </row>
    <row r="661" spans="1:10" x14ac:dyDescent="0.45">
      <c r="A661" t="s">
        <v>1121</v>
      </c>
      <c r="B661" s="2">
        <v>46056</v>
      </c>
      <c r="C661" t="s">
        <v>286</v>
      </c>
      <c r="D661" t="s">
        <v>380</v>
      </c>
      <c r="E661" t="s">
        <v>140</v>
      </c>
      <c r="F661">
        <v>3</v>
      </c>
      <c r="G661" s="3">
        <v>0</v>
      </c>
      <c r="H661" t="s">
        <v>26</v>
      </c>
      <c r="I661" t="s">
        <v>48</v>
      </c>
      <c r="J661" t="s">
        <v>21</v>
      </c>
    </row>
    <row r="662" spans="1:10" x14ac:dyDescent="0.45">
      <c r="A662" t="s">
        <v>1122</v>
      </c>
      <c r="B662" s="2">
        <v>45900</v>
      </c>
      <c r="C662" t="s">
        <v>209</v>
      </c>
      <c r="D662" t="s">
        <v>233</v>
      </c>
      <c r="E662" t="s">
        <v>97</v>
      </c>
      <c r="F662">
        <v>1</v>
      </c>
      <c r="G662" s="3">
        <v>0.1</v>
      </c>
      <c r="H662" t="s">
        <v>14</v>
      </c>
      <c r="I662" t="s">
        <v>48</v>
      </c>
      <c r="J662" t="s">
        <v>21</v>
      </c>
    </row>
    <row r="663" spans="1:10" x14ac:dyDescent="0.45">
      <c r="A663" t="s">
        <v>1123</v>
      </c>
      <c r="B663" s="2">
        <v>45742</v>
      </c>
      <c r="C663" t="s">
        <v>659</v>
      </c>
      <c r="D663" t="s">
        <v>106</v>
      </c>
      <c r="E663" t="s">
        <v>47</v>
      </c>
      <c r="F663">
        <v>7</v>
      </c>
      <c r="G663" s="3">
        <v>0.05</v>
      </c>
      <c r="H663" t="s">
        <v>53</v>
      </c>
      <c r="I663" t="s">
        <v>54</v>
      </c>
      <c r="J663" t="s">
        <v>21</v>
      </c>
    </row>
    <row r="664" spans="1:10" x14ac:dyDescent="0.45">
      <c r="A664" t="s">
        <v>1124</v>
      </c>
      <c r="B664" s="2">
        <v>45911</v>
      </c>
      <c r="C664" t="s">
        <v>377</v>
      </c>
      <c r="D664" t="s">
        <v>646</v>
      </c>
      <c r="E664" t="s">
        <v>152</v>
      </c>
      <c r="F664">
        <v>11</v>
      </c>
      <c r="G664" s="3">
        <v>0.15</v>
      </c>
      <c r="H664" t="s">
        <v>14</v>
      </c>
      <c r="I664" t="s">
        <v>48</v>
      </c>
      <c r="J664" t="s">
        <v>59</v>
      </c>
    </row>
    <row r="665" spans="1:10" x14ac:dyDescent="0.45">
      <c r="A665" t="s">
        <v>1125</v>
      </c>
      <c r="B665" s="2">
        <v>45851</v>
      </c>
      <c r="C665" t="s">
        <v>193</v>
      </c>
      <c r="D665" t="s">
        <v>34</v>
      </c>
      <c r="E665" t="s">
        <v>144</v>
      </c>
      <c r="F665">
        <v>10</v>
      </c>
      <c r="G665" s="3">
        <v>0.03</v>
      </c>
      <c r="H665" t="s">
        <v>14</v>
      </c>
      <c r="I665" t="s">
        <v>54</v>
      </c>
      <c r="J665" t="s">
        <v>21</v>
      </c>
    </row>
    <row r="666" spans="1:10" x14ac:dyDescent="0.45">
      <c r="A666" t="s">
        <v>1126</v>
      </c>
      <c r="B666" s="2">
        <v>46094</v>
      </c>
      <c r="C666" t="s">
        <v>469</v>
      </c>
      <c r="D666" t="s">
        <v>71</v>
      </c>
      <c r="E666" t="s">
        <v>225</v>
      </c>
      <c r="F666">
        <v>1</v>
      </c>
      <c r="G666" s="3">
        <v>0.05</v>
      </c>
      <c r="H666" t="s">
        <v>14</v>
      </c>
      <c r="I666" t="s">
        <v>48</v>
      </c>
      <c r="J666" t="s">
        <v>21</v>
      </c>
    </row>
    <row r="667" spans="1:10" x14ac:dyDescent="0.45">
      <c r="A667" t="s">
        <v>1127</v>
      </c>
      <c r="B667" s="2">
        <v>45894</v>
      </c>
      <c r="C667" t="s">
        <v>1128</v>
      </c>
      <c r="D667" t="s">
        <v>320</v>
      </c>
      <c r="E667" t="s">
        <v>72</v>
      </c>
      <c r="F667">
        <v>4</v>
      </c>
      <c r="G667" s="3">
        <v>0.1</v>
      </c>
      <c r="H667" t="s">
        <v>14</v>
      </c>
      <c r="I667" t="s">
        <v>48</v>
      </c>
      <c r="J667" t="s">
        <v>21</v>
      </c>
    </row>
    <row r="668" spans="1:10" x14ac:dyDescent="0.45">
      <c r="A668" t="s">
        <v>1129</v>
      </c>
      <c r="B668" s="2">
        <v>45770</v>
      </c>
      <c r="C668" t="s">
        <v>212</v>
      </c>
      <c r="D668" t="s">
        <v>529</v>
      </c>
      <c r="E668" t="s">
        <v>101</v>
      </c>
      <c r="F668">
        <v>5</v>
      </c>
      <c r="G668" s="3">
        <v>0.1</v>
      </c>
      <c r="H668" t="s">
        <v>14</v>
      </c>
      <c r="I668" t="s">
        <v>27</v>
      </c>
      <c r="J668" t="s">
        <v>59</v>
      </c>
    </row>
    <row r="669" spans="1:10" x14ac:dyDescent="0.45">
      <c r="A669" t="s">
        <v>1130</v>
      </c>
      <c r="B669" s="2">
        <v>45844</v>
      </c>
      <c r="C669" t="s">
        <v>1131</v>
      </c>
      <c r="D669" t="s">
        <v>88</v>
      </c>
      <c r="E669" t="s">
        <v>35</v>
      </c>
      <c r="F669">
        <v>1</v>
      </c>
      <c r="G669" s="3">
        <v>0</v>
      </c>
      <c r="H669" t="s">
        <v>14</v>
      </c>
      <c r="I669" t="s">
        <v>27</v>
      </c>
      <c r="J669" t="s">
        <v>21</v>
      </c>
    </row>
    <row r="670" spans="1:10" x14ac:dyDescent="0.45">
      <c r="A670" t="s">
        <v>1132</v>
      </c>
      <c r="B670" s="2">
        <v>45761</v>
      </c>
      <c r="C670" t="s">
        <v>412</v>
      </c>
      <c r="D670" t="s">
        <v>205</v>
      </c>
      <c r="E670" t="s">
        <v>82</v>
      </c>
      <c r="F670">
        <v>7</v>
      </c>
      <c r="G670" s="3">
        <v>0.03</v>
      </c>
      <c r="H670" t="s">
        <v>14</v>
      </c>
      <c r="I670" t="s">
        <v>15</v>
      </c>
      <c r="J670" t="s">
        <v>21</v>
      </c>
    </row>
    <row r="671" spans="1:10" x14ac:dyDescent="0.45">
      <c r="A671" t="s">
        <v>1133</v>
      </c>
      <c r="B671" s="2">
        <v>45671</v>
      </c>
      <c r="C671" t="s">
        <v>980</v>
      </c>
      <c r="D671" t="s">
        <v>646</v>
      </c>
      <c r="E671" t="s">
        <v>31</v>
      </c>
      <c r="F671">
        <v>11</v>
      </c>
      <c r="G671" s="3">
        <v>0.03</v>
      </c>
      <c r="H671" t="s">
        <v>14</v>
      </c>
      <c r="I671" t="s">
        <v>27</v>
      </c>
      <c r="J671" t="s">
        <v>59</v>
      </c>
    </row>
    <row r="672" spans="1:10" x14ac:dyDescent="0.45">
      <c r="A672" t="s">
        <v>1134</v>
      </c>
      <c r="B672" s="2">
        <v>46038</v>
      </c>
      <c r="C672" t="s">
        <v>462</v>
      </c>
      <c r="D672" t="s">
        <v>404</v>
      </c>
      <c r="E672" t="s">
        <v>82</v>
      </c>
      <c r="F672">
        <v>4</v>
      </c>
      <c r="G672" s="3">
        <v>0.08</v>
      </c>
      <c r="H672" t="s">
        <v>14</v>
      </c>
      <c r="I672" t="s">
        <v>15</v>
      </c>
      <c r="J672" t="s">
        <v>21</v>
      </c>
    </row>
    <row r="673" spans="1:10" x14ac:dyDescent="0.45">
      <c r="A673" t="s">
        <v>1135</v>
      </c>
      <c r="B673" s="2">
        <v>45781</v>
      </c>
      <c r="C673" t="s">
        <v>245</v>
      </c>
      <c r="D673" t="s">
        <v>91</v>
      </c>
      <c r="E673" t="s">
        <v>25</v>
      </c>
      <c r="F673">
        <v>1</v>
      </c>
      <c r="G673" s="3">
        <v>0.05</v>
      </c>
      <c r="H673" t="s">
        <v>14</v>
      </c>
      <c r="I673" t="s">
        <v>15</v>
      </c>
      <c r="J673" t="s">
        <v>36</v>
      </c>
    </row>
    <row r="674" spans="1:10" x14ac:dyDescent="0.45">
      <c r="A674" t="s">
        <v>1136</v>
      </c>
      <c r="B674" s="2">
        <v>46009</v>
      </c>
      <c r="C674" t="s">
        <v>569</v>
      </c>
      <c r="D674" t="s">
        <v>164</v>
      </c>
      <c r="E674" t="s">
        <v>82</v>
      </c>
      <c r="F674">
        <v>5</v>
      </c>
      <c r="G674" s="3">
        <v>0.2</v>
      </c>
      <c r="H674" t="s">
        <v>26</v>
      </c>
      <c r="I674" t="s">
        <v>54</v>
      </c>
      <c r="J674" t="s">
        <v>21</v>
      </c>
    </row>
    <row r="675" spans="1:10" x14ac:dyDescent="0.45">
      <c r="A675" t="s">
        <v>1137</v>
      </c>
      <c r="B675" s="2">
        <v>45854</v>
      </c>
      <c r="C675" t="s">
        <v>535</v>
      </c>
      <c r="D675" t="s">
        <v>348</v>
      </c>
      <c r="E675" t="s">
        <v>225</v>
      </c>
      <c r="F675">
        <v>7</v>
      </c>
      <c r="G675" s="3">
        <v>0.08</v>
      </c>
      <c r="H675" t="s">
        <v>53</v>
      </c>
      <c r="I675" t="s">
        <v>27</v>
      </c>
      <c r="J675" t="s">
        <v>36</v>
      </c>
    </row>
    <row r="676" spans="1:10" x14ac:dyDescent="0.45">
      <c r="A676" t="s">
        <v>1138</v>
      </c>
      <c r="B676" s="2">
        <v>45727</v>
      </c>
      <c r="C676" t="s">
        <v>45</v>
      </c>
      <c r="D676" t="s">
        <v>155</v>
      </c>
      <c r="E676" t="s">
        <v>13</v>
      </c>
      <c r="F676">
        <v>8</v>
      </c>
      <c r="G676" s="3">
        <v>0.15</v>
      </c>
      <c r="H676" t="s">
        <v>14</v>
      </c>
      <c r="I676" t="s">
        <v>48</v>
      </c>
      <c r="J676" t="s">
        <v>21</v>
      </c>
    </row>
    <row r="677" spans="1:10" x14ac:dyDescent="0.45">
      <c r="A677" t="s">
        <v>1139</v>
      </c>
      <c r="B677" s="2">
        <v>45704</v>
      </c>
      <c r="C677" t="s">
        <v>469</v>
      </c>
      <c r="D677" t="s">
        <v>91</v>
      </c>
      <c r="E677" t="s">
        <v>101</v>
      </c>
      <c r="F677">
        <v>10</v>
      </c>
      <c r="G677" s="3">
        <v>0</v>
      </c>
      <c r="H677" t="s">
        <v>53</v>
      </c>
      <c r="I677" t="s">
        <v>54</v>
      </c>
      <c r="J677" t="s">
        <v>59</v>
      </c>
    </row>
    <row r="678" spans="1:10" x14ac:dyDescent="0.45">
      <c r="A678" t="s">
        <v>1140</v>
      </c>
      <c r="B678" s="2">
        <v>46203</v>
      </c>
      <c r="C678" t="s">
        <v>248</v>
      </c>
      <c r="D678" t="s">
        <v>365</v>
      </c>
      <c r="E678" t="s">
        <v>20</v>
      </c>
      <c r="F678">
        <v>9</v>
      </c>
      <c r="G678" s="3">
        <v>0</v>
      </c>
      <c r="H678" t="s">
        <v>14</v>
      </c>
      <c r="I678" t="s">
        <v>15</v>
      </c>
      <c r="J678" t="s">
        <v>21</v>
      </c>
    </row>
    <row r="679" spans="1:10" x14ac:dyDescent="0.45">
      <c r="A679" t="s">
        <v>1141</v>
      </c>
      <c r="B679" s="2">
        <v>45936</v>
      </c>
      <c r="C679" t="s">
        <v>154</v>
      </c>
      <c r="D679" t="s">
        <v>380</v>
      </c>
      <c r="E679" t="s">
        <v>82</v>
      </c>
      <c r="F679">
        <v>4</v>
      </c>
      <c r="G679" s="3">
        <v>0.03</v>
      </c>
      <c r="H679" t="s">
        <v>14</v>
      </c>
      <c r="I679" t="s">
        <v>54</v>
      </c>
      <c r="J679" t="s">
        <v>21</v>
      </c>
    </row>
    <row r="680" spans="1:10" x14ac:dyDescent="0.45">
      <c r="A680" t="s">
        <v>1142</v>
      </c>
      <c r="B680" s="2">
        <v>46173</v>
      </c>
      <c r="C680" t="s">
        <v>839</v>
      </c>
      <c r="D680" t="s">
        <v>118</v>
      </c>
      <c r="E680" t="s">
        <v>85</v>
      </c>
      <c r="F680">
        <v>12</v>
      </c>
      <c r="G680" s="3">
        <v>0.08</v>
      </c>
      <c r="H680" t="s">
        <v>14</v>
      </c>
      <c r="I680" t="s">
        <v>54</v>
      </c>
      <c r="J680" t="s">
        <v>21</v>
      </c>
    </row>
    <row r="681" spans="1:10" x14ac:dyDescent="0.45">
      <c r="A681" t="s">
        <v>1143</v>
      </c>
      <c r="B681" s="2">
        <v>45833</v>
      </c>
      <c r="C681" t="s">
        <v>1144</v>
      </c>
      <c r="D681" t="s">
        <v>43</v>
      </c>
      <c r="E681" t="s">
        <v>31</v>
      </c>
      <c r="F681">
        <v>4</v>
      </c>
      <c r="G681" s="3">
        <v>0</v>
      </c>
      <c r="H681" t="s">
        <v>14</v>
      </c>
      <c r="I681" t="s">
        <v>27</v>
      </c>
      <c r="J681" t="s">
        <v>21</v>
      </c>
    </row>
    <row r="682" spans="1:10" x14ac:dyDescent="0.45">
      <c r="A682" t="s">
        <v>1145</v>
      </c>
      <c r="B682" s="2">
        <v>45934</v>
      </c>
      <c r="C682" t="s">
        <v>220</v>
      </c>
      <c r="D682" t="s">
        <v>205</v>
      </c>
      <c r="E682" t="s">
        <v>225</v>
      </c>
      <c r="F682">
        <v>1</v>
      </c>
      <c r="G682" s="3">
        <v>0.05</v>
      </c>
      <c r="H682" t="s">
        <v>26</v>
      </c>
      <c r="I682" t="s">
        <v>54</v>
      </c>
      <c r="J682" t="s">
        <v>21</v>
      </c>
    </row>
    <row r="683" spans="1:10" x14ac:dyDescent="0.45">
      <c r="A683" t="s">
        <v>1146</v>
      </c>
      <c r="B683" s="2">
        <v>46035</v>
      </c>
      <c r="C683" t="s">
        <v>1147</v>
      </c>
      <c r="D683" t="s">
        <v>170</v>
      </c>
      <c r="E683" t="s">
        <v>25</v>
      </c>
      <c r="F683">
        <v>6</v>
      </c>
      <c r="G683" s="3">
        <v>0</v>
      </c>
      <c r="H683" t="s">
        <v>26</v>
      </c>
      <c r="I683" t="s">
        <v>27</v>
      </c>
      <c r="J683" t="s">
        <v>59</v>
      </c>
    </row>
    <row r="684" spans="1:10" x14ac:dyDescent="0.45">
      <c r="A684" t="s">
        <v>1148</v>
      </c>
      <c r="B684" s="2">
        <v>45990</v>
      </c>
      <c r="C684" t="s">
        <v>1149</v>
      </c>
      <c r="D684" t="s">
        <v>34</v>
      </c>
      <c r="E684" t="s">
        <v>101</v>
      </c>
      <c r="F684">
        <v>1</v>
      </c>
      <c r="G684" s="3">
        <v>0</v>
      </c>
      <c r="H684" t="s">
        <v>53</v>
      </c>
      <c r="I684" t="s">
        <v>54</v>
      </c>
      <c r="J684" t="s">
        <v>59</v>
      </c>
    </row>
    <row r="685" spans="1:10" x14ac:dyDescent="0.45">
      <c r="A685" t="s">
        <v>1150</v>
      </c>
      <c r="B685" s="2">
        <v>45674</v>
      </c>
      <c r="C685" t="s">
        <v>1151</v>
      </c>
      <c r="D685" t="s">
        <v>185</v>
      </c>
      <c r="E685" t="s">
        <v>152</v>
      </c>
      <c r="F685">
        <v>9</v>
      </c>
      <c r="G685" s="3">
        <v>0</v>
      </c>
      <c r="H685" t="s">
        <v>53</v>
      </c>
      <c r="I685" t="s">
        <v>15</v>
      </c>
      <c r="J685" t="s">
        <v>107</v>
      </c>
    </row>
    <row r="686" spans="1:10" x14ac:dyDescent="0.45">
      <c r="A686" t="s">
        <v>1152</v>
      </c>
      <c r="B686" s="2">
        <v>45869</v>
      </c>
      <c r="C686" t="s">
        <v>271</v>
      </c>
      <c r="D686" t="s">
        <v>114</v>
      </c>
      <c r="E686" t="s">
        <v>52</v>
      </c>
      <c r="F686">
        <v>8</v>
      </c>
      <c r="G686" s="3">
        <v>0.05</v>
      </c>
      <c r="H686" t="s">
        <v>14</v>
      </c>
      <c r="I686" t="s">
        <v>54</v>
      </c>
      <c r="J686" t="s">
        <v>21</v>
      </c>
    </row>
    <row r="687" spans="1:10" x14ac:dyDescent="0.45">
      <c r="A687" t="s">
        <v>1153</v>
      </c>
      <c r="B687" s="2">
        <v>46114</v>
      </c>
      <c r="C687" t="s">
        <v>921</v>
      </c>
      <c r="D687" t="s">
        <v>318</v>
      </c>
      <c r="E687" t="s">
        <v>225</v>
      </c>
      <c r="F687">
        <v>4</v>
      </c>
      <c r="G687" s="3">
        <v>0.15</v>
      </c>
      <c r="H687" t="s">
        <v>14</v>
      </c>
      <c r="I687" t="s">
        <v>15</v>
      </c>
      <c r="J687" t="s">
        <v>21</v>
      </c>
    </row>
    <row r="688" spans="1:10" x14ac:dyDescent="0.45">
      <c r="A688" t="s">
        <v>1154</v>
      </c>
      <c r="B688" s="2">
        <v>45838</v>
      </c>
      <c r="C688" t="s">
        <v>297</v>
      </c>
      <c r="D688" t="s">
        <v>75</v>
      </c>
      <c r="E688" t="s">
        <v>144</v>
      </c>
      <c r="F688">
        <v>4</v>
      </c>
      <c r="G688" s="3">
        <v>0.2</v>
      </c>
      <c r="H688" t="s">
        <v>26</v>
      </c>
      <c r="I688" t="s">
        <v>54</v>
      </c>
      <c r="J688" t="s">
        <v>21</v>
      </c>
    </row>
    <row r="689" spans="1:10" x14ac:dyDescent="0.45">
      <c r="A689" t="s">
        <v>1155</v>
      </c>
      <c r="B689" s="2">
        <v>45839</v>
      </c>
      <c r="C689" t="s">
        <v>950</v>
      </c>
      <c r="D689" t="s">
        <v>320</v>
      </c>
      <c r="E689" t="s">
        <v>144</v>
      </c>
      <c r="F689">
        <v>7</v>
      </c>
      <c r="G689" s="3">
        <v>0.05</v>
      </c>
      <c r="H689" t="s">
        <v>14</v>
      </c>
      <c r="I689" t="s">
        <v>48</v>
      </c>
      <c r="J689" t="s">
        <v>21</v>
      </c>
    </row>
    <row r="690" spans="1:10" x14ac:dyDescent="0.45">
      <c r="A690" t="s">
        <v>1156</v>
      </c>
      <c r="B690" s="2">
        <v>46197</v>
      </c>
      <c r="C690" t="s">
        <v>538</v>
      </c>
      <c r="D690" t="s">
        <v>380</v>
      </c>
      <c r="E690" t="s">
        <v>31</v>
      </c>
      <c r="F690">
        <v>3</v>
      </c>
      <c r="G690" s="3">
        <v>0</v>
      </c>
      <c r="H690" t="s">
        <v>53</v>
      </c>
      <c r="I690" t="s">
        <v>15</v>
      </c>
      <c r="J690" t="s">
        <v>21</v>
      </c>
    </row>
    <row r="691" spans="1:10" x14ac:dyDescent="0.45">
      <c r="A691" t="s">
        <v>1157</v>
      </c>
      <c r="B691" s="2">
        <v>45702</v>
      </c>
      <c r="C691" t="s">
        <v>710</v>
      </c>
      <c r="D691" t="s">
        <v>110</v>
      </c>
      <c r="E691" t="s">
        <v>40</v>
      </c>
      <c r="F691">
        <v>3</v>
      </c>
      <c r="G691" s="3">
        <v>0.05</v>
      </c>
      <c r="H691" t="s">
        <v>53</v>
      </c>
      <c r="I691" t="s">
        <v>27</v>
      </c>
      <c r="J691" t="s">
        <v>21</v>
      </c>
    </row>
    <row r="692" spans="1:10" x14ac:dyDescent="0.45">
      <c r="A692" t="s">
        <v>1158</v>
      </c>
      <c r="B692" s="2">
        <v>45667</v>
      </c>
      <c r="C692" t="s">
        <v>682</v>
      </c>
      <c r="D692" t="s">
        <v>81</v>
      </c>
      <c r="E692" t="s">
        <v>97</v>
      </c>
      <c r="F692">
        <v>2</v>
      </c>
      <c r="G692" s="3">
        <v>0.1</v>
      </c>
      <c r="H692" t="s">
        <v>53</v>
      </c>
      <c r="I692" t="s">
        <v>48</v>
      </c>
      <c r="J692" t="s">
        <v>21</v>
      </c>
    </row>
    <row r="693" spans="1:10" x14ac:dyDescent="0.45">
      <c r="A693" t="s">
        <v>1159</v>
      </c>
      <c r="B693" s="2">
        <v>45825</v>
      </c>
      <c r="C693" t="s">
        <v>1120</v>
      </c>
      <c r="D693" t="s">
        <v>196</v>
      </c>
      <c r="E693" t="s">
        <v>85</v>
      </c>
      <c r="F693">
        <v>5</v>
      </c>
      <c r="G693" s="3">
        <v>0.1</v>
      </c>
      <c r="H693" t="s">
        <v>14</v>
      </c>
      <c r="I693" t="s">
        <v>54</v>
      </c>
      <c r="J693" t="s">
        <v>21</v>
      </c>
    </row>
    <row r="694" spans="1:10" x14ac:dyDescent="0.45">
      <c r="A694" t="s">
        <v>1160</v>
      </c>
      <c r="B694" s="2">
        <v>45784</v>
      </c>
      <c r="C694" t="s">
        <v>453</v>
      </c>
      <c r="D694" t="s">
        <v>312</v>
      </c>
      <c r="E694" t="s">
        <v>25</v>
      </c>
      <c r="F694">
        <v>1</v>
      </c>
      <c r="G694" s="3">
        <v>0</v>
      </c>
      <c r="H694" t="s">
        <v>14</v>
      </c>
      <c r="I694" t="s">
        <v>27</v>
      </c>
      <c r="J694" t="s">
        <v>21</v>
      </c>
    </row>
    <row r="695" spans="1:10" x14ac:dyDescent="0.45">
      <c r="A695" t="s">
        <v>1161</v>
      </c>
      <c r="B695" s="2">
        <v>45887</v>
      </c>
      <c r="C695" t="s">
        <v>214</v>
      </c>
      <c r="D695" t="s">
        <v>167</v>
      </c>
      <c r="E695" t="s">
        <v>97</v>
      </c>
      <c r="F695">
        <v>1</v>
      </c>
      <c r="G695" s="3">
        <v>0.05</v>
      </c>
      <c r="H695" t="s">
        <v>14</v>
      </c>
      <c r="I695" t="s">
        <v>54</v>
      </c>
      <c r="J695" t="s">
        <v>21</v>
      </c>
    </row>
    <row r="696" spans="1:10" x14ac:dyDescent="0.45">
      <c r="A696" t="s">
        <v>1162</v>
      </c>
      <c r="B696" s="2">
        <v>46051</v>
      </c>
      <c r="C696" t="s">
        <v>1163</v>
      </c>
      <c r="D696" t="s">
        <v>614</v>
      </c>
      <c r="E696" t="s">
        <v>20</v>
      </c>
      <c r="F696">
        <v>11</v>
      </c>
      <c r="G696" s="3">
        <v>0</v>
      </c>
      <c r="H696" t="s">
        <v>14</v>
      </c>
      <c r="I696" t="s">
        <v>48</v>
      </c>
      <c r="J696" t="s">
        <v>21</v>
      </c>
    </row>
    <row r="697" spans="1:10" x14ac:dyDescent="0.45">
      <c r="A697" t="s">
        <v>1164</v>
      </c>
      <c r="B697" s="2">
        <v>45999</v>
      </c>
      <c r="C697" t="s">
        <v>815</v>
      </c>
      <c r="D697" t="s">
        <v>158</v>
      </c>
      <c r="E697" t="s">
        <v>127</v>
      </c>
      <c r="F697">
        <v>2</v>
      </c>
      <c r="G697" s="3">
        <v>0.1</v>
      </c>
      <c r="H697" t="s">
        <v>26</v>
      </c>
      <c r="I697" t="s">
        <v>48</v>
      </c>
      <c r="J697" t="s">
        <v>36</v>
      </c>
    </row>
    <row r="698" spans="1:10" x14ac:dyDescent="0.45">
      <c r="A698" t="s">
        <v>1165</v>
      </c>
      <c r="B698" s="2">
        <v>46096</v>
      </c>
      <c r="C698" t="s">
        <v>1095</v>
      </c>
      <c r="D698" t="s">
        <v>246</v>
      </c>
      <c r="E698" t="s">
        <v>144</v>
      </c>
      <c r="F698">
        <v>9</v>
      </c>
      <c r="G698" s="3">
        <v>0.1</v>
      </c>
      <c r="H698" t="s">
        <v>14</v>
      </c>
      <c r="I698" t="s">
        <v>15</v>
      </c>
      <c r="J698" t="s">
        <v>21</v>
      </c>
    </row>
    <row r="699" spans="1:10" x14ac:dyDescent="0.45">
      <c r="A699" t="s">
        <v>1166</v>
      </c>
      <c r="B699" s="2">
        <v>45951</v>
      </c>
      <c r="C699" t="s">
        <v>701</v>
      </c>
      <c r="D699" t="s">
        <v>391</v>
      </c>
      <c r="E699" t="s">
        <v>82</v>
      </c>
      <c r="F699">
        <v>6</v>
      </c>
      <c r="G699" s="3">
        <v>0</v>
      </c>
      <c r="H699" t="s">
        <v>14</v>
      </c>
      <c r="I699" t="s">
        <v>15</v>
      </c>
      <c r="J699" t="s">
        <v>21</v>
      </c>
    </row>
    <row r="700" spans="1:10" x14ac:dyDescent="0.45">
      <c r="A700" t="s">
        <v>1167</v>
      </c>
      <c r="B700" s="2">
        <v>45810</v>
      </c>
      <c r="C700" t="s">
        <v>1168</v>
      </c>
      <c r="D700" t="s">
        <v>39</v>
      </c>
      <c r="E700" t="s">
        <v>97</v>
      </c>
      <c r="F700">
        <v>11</v>
      </c>
      <c r="G700" s="3">
        <v>0.03</v>
      </c>
      <c r="H700" t="s">
        <v>14</v>
      </c>
      <c r="I700" t="s">
        <v>15</v>
      </c>
      <c r="J700" t="s">
        <v>21</v>
      </c>
    </row>
    <row r="701" spans="1:10" x14ac:dyDescent="0.45">
      <c r="A701" t="s">
        <v>1169</v>
      </c>
      <c r="B701" s="2">
        <v>45773</v>
      </c>
      <c r="C701" t="s">
        <v>163</v>
      </c>
      <c r="D701" t="s">
        <v>238</v>
      </c>
      <c r="E701" t="s">
        <v>127</v>
      </c>
      <c r="F701">
        <v>10</v>
      </c>
      <c r="G701" s="3">
        <v>0.15</v>
      </c>
      <c r="H701" t="s">
        <v>26</v>
      </c>
      <c r="I701" t="s">
        <v>27</v>
      </c>
      <c r="J701" t="s">
        <v>21</v>
      </c>
    </row>
    <row r="702" spans="1:10" x14ac:dyDescent="0.45">
      <c r="A702" t="s">
        <v>1170</v>
      </c>
      <c r="B702" s="2">
        <v>46052</v>
      </c>
      <c r="C702" t="s">
        <v>451</v>
      </c>
      <c r="D702" t="s">
        <v>91</v>
      </c>
      <c r="E702" t="s">
        <v>144</v>
      </c>
      <c r="F702">
        <v>6</v>
      </c>
      <c r="G702" s="3">
        <v>0.1</v>
      </c>
      <c r="H702" t="s">
        <v>14</v>
      </c>
      <c r="I702" t="s">
        <v>15</v>
      </c>
      <c r="J702" t="s">
        <v>59</v>
      </c>
    </row>
    <row r="703" spans="1:10" x14ac:dyDescent="0.45">
      <c r="A703" t="s">
        <v>1171</v>
      </c>
      <c r="B703" s="2">
        <v>45999</v>
      </c>
      <c r="C703" t="s">
        <v>50</v>
      </c>
      <c r="D703" t="s">
        <v>114</v>
      </c>
      <c r="E703" t="s">
        <v>25</v>
      </c>
      <c r="F703">
        <v>3</v>
      </c>
      <c r="G703" s="3">
        <v>0.05</v>
      </c>
      <c r="H703" t="s">
        <v>14</v>
      </c>
      <c r="I703" t="s">
        <v>15</v>
      </c>
      <c r="J703" t="s">
        <v>21</v>
      </c>
    </row>
    <row r="704" spans="1:10" x14ac:dyDescent="0.45">
      <c r="A704" t="s">
        <v>1172</v>
      </c>
      <c r="B704" s="2">
        <v>45893</v>
      </c>
      <c r="C704" t="s">
        <v>712</v>
      </c>
      <c r="D704" t="s">
        <v>272</v>
      </c>
      <c r="E704" t="s">
        <v>52</v>
      </c>
      <c r="F704">
        <v>7</v>
      </c>
      <c r="G704" s="3">
        <v>0</v>
      </c>
      <c r="H704" t="s">
        <v>14</v>
      </c>
      <c r="I704" t="s">
        <v>15</v>
      </c>
      <c r="J704" t="s">
        <v>21</v>
      </c>
    </row>
    <row r="705" spans="1:10" x14ac:dyDescent="0.45">
      <c r="A705" t="s">
        <v>1173</v>
      </c>
      <c r="B705" s="2">
        <v>45747</v>
      </c>
      <c r="C705" t="s">
        <v>342</v>
      </c>
      <c r="D705" t="s">
        <v>614</v>
      </c>
      <c r="E705" t="s">
        <v>72</v>
      </c>
      <c r="F705">
        <v>4</v>
      </c>
      <c r="G705" s="3">
        <v>0.1</v>
      </c>
      <c r="H705" t="s">
        <v>14</v>
      </c>
      <c r="I705" t="s">
        <v>48</v>
      </c>
      <c r="J705" t="s">
        <v>21</v>
      </c>
    </row>
    <row r="706" spans="1:10" x14ac:dyDescent="0.45">
      <c r="A706" t="s">
        <v>1174</v>
      </c>
      <c r="B706" s="2">
        <v>45719</v>
      </c>
      <c r="C706" t="s">
        <v>1175</v>
      </c>
      <c r="D706" t="s">
        <v>182</v>
      </c>
      <c r="E706" t="s">
        <v>31</v>
      </c>
      <c r="F706">
        <v>6</v>
      </c>
      <c r="G706" s="3">
        <v>0.1</v>
      </c>
      <c r="H706" t="s">
        <v>53</v>
      </c>
      <c r="I706" t="s">
        <v>54</v>
      </c>
      <c r="J706" t="s">
        <v>21</v>
      </c>
    </row>
    <row r="707" spans="1:10" x14ac:dyDescent="0.45">
      <c r="A707" t="s">
        <v>1176</v>
      </c>
      <c r="B707" s="2">
        <v>45906</v>
      </c>
      <c r="C707" t="s">
        <v>1177</v>
      </c>
      <c r="D707" t="s">
        <v>43</v>
      </c>
      <c r="E707" t="s">
        <v>13</v>
      </c>
      <c r="F707">
        <v>4</v>
      </c>
      <c r="G707" s="3">
        <v>0.05</v>
      </c>
      <c r="H707" t="s">
        <v>14</v>
      </c>
      <c r="I707" t="s">
        <v>54</v>
      </c>
      <c r="J707" t="s">
        <v>21</v>
      </c>
    </row>
    <row r="708" spans="1:10" x14ac:dyDescent="0.45">
      <c r="A708" t="s">
        <v>1178</v>
      </c>
      <c r="B708" s="2">
        <v>45684</v>
      </c>
      <c r="C708" t="s">
        <v>1179</v>
      </c>
      <c r="D708" t="s">
        <v>167</v>
      </c>
      <c r="E708" t="s">
        <v>136</v>
      </c>
      <c r="F708">
        <v>12</v>
      </c>
      <c r="G708" s="3">
        <v>0.15</v>
      </c>
      <c r="H708" t="s">
        <v>14</v>
      </c>
      <c r="I708" t="s">
        <v>48</v>
      </c>
      <c r="J708" t="s">
        <v>21</v>
      </c>
    </row>
    <row r="709" spans="1:10" x14ac:dyDescent="0.45">
      <c r="A709" t="s">
        <v>1180</v>
      </c>
      <c r="B709" s="2">
        <v>45819</v>
      </c>
      <c r="C709" t="s">
        <v>157</v>
      </c>
      <c r="D709" t="s">
        <v>238</v>
      </c>
      <c r="E709" t="s">
        <v>82</v>
      </c>
      <c r="F709">
        <v>1</v>
      </c>
      <c r="G709" s="3">
        <v>0.03</v>
      </c>
      <c r="H709" t="s">
        <v>14</v>
      </c>
      <c r="I709" t="s">
        <v>48</v>
      </c>
      <c r="J709" t="s">
        <v>21</v>
      </c>
    </row>
    <row r="710" spans="1:10" x14ac:dyDescent="0.45">
      <c r="A710" t="s">
        <v>1181</v>
      </c>
      <c r="B710" s="2">
        <v>45811</v>
      </c>
      <c r="C710" t="s">
        <v>344</v>
      </c>
      <c r="D710" t="s">
        <v>196</v>
      </c>
      <c r="E710" t="s">
        <v>13</v>
      </c>
      <c r="F710">
        <v>3</v>
      </c>
      <c r="G710" s="3">
        <v>0.2</v>
      </c>
      <c r="H710" t="s">
        <v>53</v>
      </c>
      <c r="I710" t="s">
        <v>27</v>
      </c>
      <c r="J710" t="s">
        <v>21</v>
      </c>
    </row>
    <row r="711" spans="1:10" x14ac:dyDescent="0.45">
      <c r="A711" t="s">
        <v>1182</v>
      </c>
      <c r="B711" s="2">
        <v>45671</v>
      </c>
      <c r="C711" t="s">
        <v>1024</v>
      </c>
      <c r="D711" t="s">
        <v>57</v>
      </c>
      <c r="E711" t="s">
        <v>85</v>
      </c>
      <c r="F711">
        <v>5</v>
      </c>
      <c r="G711" s="3">
        <v>0</v>
      </c>
      <c r="H711" t="s">
        <v>14</v>
      </c>
      <c r="I711" t="s">
        <v>48</v>
      </c>
      <c r="J711" t="s">
        <v>21</v>
      </c>
    </row>
    <row r="712" spans="1:10" x14ac:dyDescent="0.45">
      <c r="A712" t="s">
        <v>1183</v>
      </c>
      <c r="B712" s="2">
        <v>45669</v>
      </c>
      <c r="C712" t="s">
        <v>117</v>
      </c>
      <c r="D712" t="s">
        <v>233</v>
      </c>
      <c r="E712" t="s">
        <v>144</v>
      </c>
      <c r="F712">
        <v>7</v>
      </c>
      <c r="G712" s="3">
        <v>0.15</v>
      </c>
      <c r="H712" t="s">
        <v>53</v>
      </c>
      <c r="I712" t="s">
        <v>15</v>
      </c>
      <c r="J712" t="s">
        <v>21</v>
      </c>
    </row>
    <row r="713" spans="1:10" x14ac:dyDescent="0.45">
      <c r="A713" t="s">
        <v>1184</v>
      </c>
      <c r="B713" s="2">
        <v>45971</v>
      </c>
      <c r="C713" t="s">
        <v>276</v>
      </c>
      <c r="D713" t="s">
        <v>94</v>
      </c>
      <c r="E713" t="s">
        <v>140</v>
      </c>
      <c r="F713">
        <v>12</v>
      </c>
      <c r="G713" s="3">
        <v>0.05</v>
      </c>
      <c r="H713" t="s">
        <v>14</v>
      </c>
      <c r="I713" t="s">
        <v>54</v>
      </c>
      <c r="J713" t="s">
        <v>21</v>
      </c>
    </row>
    <row r="714" spans="1:10" x14ac:dyDescent="0.45">
      <c r="A714" t="s">
        <v>1185</v>
      </c>
      <c r="B714" s="2">
        <v>45786</v>
      </c>
      <c r="C714" t="s">
        <v>663</v>
      </c>
      <c r="D714" t="s">
        <v>126</v>
      </c>
      <c r="E714" t="s">
        <v>136</v>
      </c>
      <c r="F714">
        <v>12</v>
      </c>
      <c r="G714" s="3">
        <v>0.05</v>
      </c>
      <c r="H714" t="s">
        <v>14</v>
      </c>
      <c r="I714" t="s">
        <v>48</v>
      </c>
      <c r="J714" t="s">
        <v>21</v>
      </c>
    </row>
    <row r="715" spans="1:10" x14ac:dyDescent="0.45">
      <c r="A715" t="s">
        <v>1186</v>
      </c>
      <c r="B715" s="2">
        <v>45737</v>
      </c>
      <c r="C715" t="s">
        <v>125</v>
      </c>
      <c r="D715" t="s">
        <v>502</v>
      </c>
      <c r="E715" t="s">
        <v>82</v>
      </c>
      <c r="F715">
        <v>12</v>
      </c>
      <c r="G715" s="3">
        <v>0.2</v>
      </c>
      <c r="H715" t="s">
        <v>14</v>
      </c>
      <c r="I715" t="s">
        <v>15</v>
      </c>
      <c r="J715" t="s">
        <v>16</v>
      </c>
    </row>
    <row r="716" spans="1:10" x14ac:dyDescent="0.45">
      <c r="A716" t="s">
        <v>1187</v>
      </c>
      <c r="B716" s="2">
        <v>46092</v>
      </c>
      <c r="C716" t="s">
        <v>38</v>
      </c>
      <c r="D716" t="s">
        <v>529</v>
      </c>
      <c r="E716" t="s">
        <v>58</v>
      </c>
      <c r="F716">
        <v>4</v>
      </c>
      <c r="G716" s="3">
        <v>0.08</v>
      </c>
      <c r="H716" t="s">
        <v>14</v>
      </c>
      <c r="I716" t="s">
        <v>48</v>
      </c>
      <c r="J716" t="s">
        <v>21</v>
      </c>
    </row>
    <row r="717" spans="1:10" x14ac:dyDescent="0.45">
      <c r="A717" t="s">
        <v>1188</v>
      </c>
      <c r="B717" s="2">
        <v>45903</v>
      </c>
      <c r="C717" t="s">
        <v>490</v>
      </c>
      <c r="D717" t="s">
        <v>148</v>
      </c>
      <c r="E717" t="s">
        <v>97</v>
      </c>
      <c r="F717">
        <v>5</v>
      </c>
      <c r="G717" s="3">
        <v>0.03</v>
      </c>
      <c r="H717" t="s">
        <v>14</v>
      </c>
      <c r="I717" t="s">
        <v>48</v>
      </c>
      <c r="J717" t="s">
        <v>21</v>
      </c>
    </row>
    <row r="718" spans="1:10" x14ac:dyDescent="0.45">
      <c r="A718" t="s">
        <v>1189</v>
      </c>
      <c r="B718" s="2">
        <v>45864</v>
      </c>
      <c r="C718" t="s">
        <v>328</v>
      </c>
      <c r="D718" t="s">
        <v>320</v>
      </c>
      <c r="E718" t="s">
        <v>115</v>
      </c>
      <c r="F718">
        <v>11</v>
      </c>
      <c r="G718" s="3">
        <v>0</v>
      </c>
      <c r="H718" t="s">
        <v>14</v>
      </c>
      <c r="I718" t="s">
        <v>48</v>
      </c>
      <c r="J718" t="s">
        <v>107</v>
      </c>
    </row>
    <row r="719" spans="1:10" x14ac:dyDescent="0.45">
      <c r="A719" t="s">
        <v>1190</v>
      </c>
      <c r="B719" s="2">
        <v>46153</v>
      </c>
      <c r="C719" t="s">
        <v>432</v>
      </c>
      <c r="D719" t="s">
        <v>348</v>
      </c>
      <c r="E719" t="s">
        <v>197</v>
      </c>
      <c r="F719">
        <v>1</v>
      </c>
      <c r="G719" s="3">
        <v>0</v>
      </c>
      <c r="H719" t="s">
        <v>14</v>
      </c>
      <c r="I719" t="s">
        <v>27</v>
      </c>
      <c r="J719" t="s">
        <v>21</v>
      </c>
    </row>
    <row r="720" spans="1:10" x14ac:dyDescent="0.45">
      <c r="A720" t="s">
        <v>1191</v>
      </c>
      <c r="B720" s="2">
        <v>46170</v>
      </c>
      <c r="C720" t="s">
        <v>175</v>
      </c>
      <c r="D720" t="s">
        <v>106</v>
      </c>
      <c r="E720" t="s">
        <v>136</v>
      </c>
      <c r="F720">
        <v>4</v>
      </c>
      <c r="G720" s="3">
        <v>0.1</v>
      </c>
      <c r="H720" t="s">
        <v>53</v>
      </c>
      <c r="I720" t="s">
        <v>27</v>
      </c>
      <c r="J720" t="s">
        <v>107</v>
      </c>
    </row>
    <row r="721" spans="1:10" x14ac:dyDescent="0.45">
      <c r="A721" t="s">
        <v>1192</v>
      </c>
      <c r="B721" s="2">
        <v>46075</v>
      </c>
      <c r="C721" t="s">
        <v>1193</v>
      </c>
      <c r="D721" t="s">
        <v>143</v>
      </c>
      <c r="E721" t="s">
        <v>281</v>
      </c>
      <c r="F721">
        <v>12</v>
      </c>
      <c r="G721" s="3">
        <v>0</v>
      </c>
      <c r="H721" t="s">
        <v>14</v>
      </c>
      <c r="I721" t="s">
        <v>54</v>
      </c>
      <c r="J721" t="s">
        <v>21</v>
      </c>
    </row>
    <row r="722" spans="1:10" x14ac:dyDescent="0.45">
      <c r="A722" t="s">
        <v>1194</v>
      </c>
      <c r="B722" s="2">
        <v>45696</v>
      </c>
      <c r="C722" t="s">
        <v>163</v>
      </c>
      <c r="D722" t="s">
        <v>161</v>
      </c>
      <c r="E722" t="s">
        <v>47</v>
      </c>
      <c r="F722">
        <v>5</v>
      </c>
      <c r="G722" s="3">
        <v>0.03</v>
      </c>
      <c r="H722" t="s">
        <v>14</v>
      </c>
      <c r="I722" t="s">
        <v>15</v>
      </c>
      <c r="J722" t="s">
        <v>21</v>
      </c>
    </row>
    <row r="723" spans="1:10" x14ac:dyDescent="0.45">
      <c r="A723" t="s">
        <v>1195</v>
      </c>
      <c r="B723" s="2">
        <v>45895</v>
      </c>
      <c r="C723" t="s">
        <v>187</v>
      </c>
      <c r="D723" t="s">
        <v>46</v>
      </c>
      <c r="E723" t="s">
        <v>72</v>
      </c>
      <c r="F723">
        <v>4</v>
      </c>
      <c r="G723" s="3">
        <v>0.03</v>
      </c>
      <c r="H723" t="s">
        <v>53</v>
      </c>
      <c r="I723" t="s">
        <v>54</v>
      </c>
      <c r="J723" t="s">
        <v>107</v>
      </c>
    </row>
    <row r="724" spans="1:10" x14ac:dyDescent="0.45">
      <c r="A724" t="s">
        <v>1196</v>
      </c>
      <c r="B724" s="2">
        <v>46193</v>
      </c>
      <c r="C724" t="s">
        <v>704</v>
      </c>
      <c r="D724" t="s">
        <v>126</v>
      </c>
      <c r="E724" t="s">
        <v>111</v>
      </c>
      <c r="F724">
        <v>6</v>
      </c>
      <c r="G724" s="3">
        <v>0.2</v>
      </c>
      <c r="H724" t="s">
        <v>53</v>
      </c>
      <c r="I724" t="s">
        <v>27</v>
      </c>
      <c r="J724" t="s">
        <v>21</v>
      </c>
    </row>
    <row r="725" spans="1:10" x14ac:dyDescent="0.45">
      <c r="A725" t="s">
        <v>1197</v>
      </c>
      <c r="B725" s="2">
        <v>46054</v>
      </c>
      <c r="C725" t="s">
        <v>1198</v>
      </c>
      <c r="D725" t="s">
        <v>235</v>
      </c>
      <c r="E725" t="s">
        <v>35</v>
      </c>
      <c r="F725">
        <v>4</v>
      </c>
      <c r="G725" s="3">
        <v>0.05</v>
      </c>
      <c r="H725" t="s">
        <v>26</v>
      </c>
      <c r="I725" t="s">
        <v>48</v>
      </c>
      <c r="J725" t="s">
        <v>107</v>
      </c>
    </row>
    <row r="726" spans="1:10" x14ac:dyDescent="0.45">
      <c r="A726" t="s">
        <v>1199</v>
      </c>
      <c r="B726" s="2">
        <v>45673</v>
      </c>
      <c r="C726" t="s">
        <v>1200</v>
      </c>
      <c r="D726" t="s">
        <v>365</v>
      </c>
      <c r="E726" t="s">
        <v>31</v>
      </c>
      <c r="F726">
        <v>3</v>
      </c>
      <c r="G726" s="3">
        <v>0.08</v>
      </c>
      <c r="H726" t="s">
        <v>14</v>
      </c>
      <c r="I726" t="s">
        <v>48</v>
      </c>
      <c r="J726" t="s">
        <v>21</v>
      </c>
    </row>
    <row r="727" spans="1:10" x14ac:dyDescent="0.45">
      <c r="A727" t="s">
        <v>1201</v>
      </c>
      <c r="B727" s="2">
        <v>45960</v>
      </c>
      <c r="C727" t="s">
        <v>538</v>
      </c>
      <c r="D727" t="s">
        <v>88</v>
      </c>
      <c r="E727" t="s">
        <v>144</v>
      </c>
      <c r="F727">
        <v>3</v>
      </c>
      <c r="G727" s="3">
        <v>0</v>
      </c>
      <c r="H727" t="s">
        <v>14</v>
      </c>
      <c r="I727" t="s">
        <v>27</v>
      </c>
      <c r="J727" t="s">
        <v>21</v>
      </c>
    </row>
    <row r="728" spans="1:10" x14ac:dyDescent="0.45">
      <c r="A728" t="s">
        <v>1202</v>
      </c>
      <c r="B728" s="2">
        <v>46129</v>
      </c>
      <c r="C728" t="s">
        <v>967</v>
      </c>
      <c r="D728" t="s">
        <v>185</v>
      </c>
      <c r="E728" t="s">
        <v>72</v>
      </c>
      <c r="F728">
        <v>5</v>
      </c>
      <c r="G728" s="3">
        <v>0.2</v>
      </c>
      <c r="H728" t="s">
        <v>26</v>
      </c>
      <c r="I728" t="s">
        <v>15</v>
      </c>
      <c r="J728" t="s">
        <v>21</v>
      </c>
    </row>
    <row r="729" spans="1:10" x14ac:dyDescent="0.45">
      <c r="A729" t="s">
        <v>1203</v>
      </c>
      <c r="B729" s="2">
        <v>46157</v>
      </c>
      <c r="C729" t="s">
        <v>903</v>
      </c>
      <c r="D729" t="s">
        <v>155</v>
      </c>
      <c r="E729" t="s">
        <v>197</v>
      </c>
      <c r="F729">
        <v>1</v>
      </c>
      <c r="G729" s="3">
        <v>0.1</v>
      </c>
      <c r="H729" t="s">
        <v>53</v>
      </c>
      <c r="I729" t="s">
        <v>15</v>
      </c>
      <c r="J729" t="s">
        <v>21</v>
      </c>
    </row>
    <row r="730" spans="1:10" x14ac:dyDescent="0.45">
      <c r="A730" t="s">
        <v>1204</v>
      </c>
      <c r="B730" s="2">
        <v>46033</v>
      </c>
      <c r="C730" t="s">
        <v>932</v>
      </c>
      <c r="D730" t="s">
        <v>91</v>
      </c>
      <c r="E730" t="s">
        <v>85</v>
      </c>
      <c r="F730">
        <v>9</v>
      </c>
      <c r="G730" s="3">
        <v>0.1</v>
      </c>
      <c r="H730" t="s">
        <v>14</v>
      </c>
      <c r="I730" t="s">
        <v>15</v>
      </c>
      <c r="J730" t="s">
        <v>21</v>
      </c>
    </row>
    <row r="731" spans="1:10" x14ac:dyDescent="0.45">
      <c r="A731" t="s">
        <v>1205</v>
      </c>
      <c r="B731" s="2">
        <v>45716</v>
      </c>
      <c r="C731" t="s">
        <v>790</v>
      </c>
      <c r="D731" t="s">
        <v>348</v>
      </c>
      <c r="E731" t="s">
        <v>82</v>
      </c>
      <c r="F731">
        <v>12</v>
      </c>
      <c r="G731" s="3">
        <v>0.05</v>
      </c>
      <c r="H731" t="s">
        <v>53</v>
      </c>
      <c r="I731" t="s">
        <v>48</v>
      </c>
      <c r="J731" t="s">
        <v>21</v>
      </c>
    </row>
    <row r="732" spans="1:10" x14ac:dyDescent="0.45">
      <c r="A732" t="s">
        <v>1206</v>
      </c>
      <c r="B732" s="2">
        <v>45820</v>
      </c>
      <c r="C732" t="s">
        <v>1207</v>
      </c>
      <c r="D732" t="s">
        <v>65</v>
      </c>
      <c r="E732" t="s">
        <v>136</v>
      </c>
      <c r="F732">
        <v>10</v>
      </c>
      <c r="G732" s="3">
        <v>0.15</v>
      </c>
      <c r="H732" t="s">
        <v>53</v>
      </c>
      <c r="I732" t="s">
        <v>54</v>
      </c>
      <c r="J732" t="s">
        <v>21</v>
      </c>
    </row>
    <row r="733" spans="1:10" x14ac:dyDescent="0.45">
      <c r="A733" t="s">
        <v>1208</v>
      </c>
      <c r="B733" s="2">
        <v>46135</v>
      </c>
      <c r="C733" t="s">
        <v>624</v>
      </c>
      <c r="D733" t="s">
        <v>46</v>
      </c>
      <c r="E733" t="s">
        <v>58</v>
      </c>
      <c r="F733">
        <v>8</v>
      </c>
      <c r="G733" s="3">
        <v>0.2</v>
      </c>
      <c r="H733" t="s">
        <v>14</v>
      </c>
      <c r="I733" t="s">
        <v>54</v>
      </c>
      <c r="J733" t="s">
        <v>59</v>
      </c>
    </row>
    <row r="734" spans="1:10" x14ac:dyDescent="0.45">
      <c r="A734" t="s">
        <v>1209</v>
      </c>
      <c r="B734" s="2">
        <v>46069</v>
      </c>
      <c r="C734" t="s">
        <v>248</v>
      </c>
      <c r="D734" t="s">
        <v>235</v>
      </c>
      <c r="E734" t="s">
        <v>115</v>
      </c>
      <c r="F734">
        <v>6</v>
      </c>
      <c r="G734" s="3">
        <v>0</v>
      </c>
      <c r="H734" t="s">
        <v>14</v>
      </c>
      <c r="I734" t="s">
        <v>15</v>
      </c>
      <c r="J734" t="s">
        <v>21</v>
      </c>
    </row>
    <row r="735" spans="1:10" x14ac:dyDescent="0.45">
      <c r="A735" t="s">
        <v>1210</v>
      </c>
      <c r="B735" s="2">
        <v>45943</v>
      </c>
      <c r="C735" t="s">
        <v>736</v>
      </c>
      <c r="D735" t="s">
        <v>280</v>
      </c>
      <c r="E735" t="s">
        <v>31</v>
      </c>
      <c r="F735">
        <v>8</v>
      </c>
      <c r="G735" s="3">
        <v>0</v>
      </c>
      <c r="H735" t="s">
        <v>14</v>
      </c>
      <c r="I735" t="s">
        <v>15</v>
      </c>
      <c r="J735" t="s">
        <v>21</v>
      </c>
    </row>
    <row r="736" spans="1:10" x14ac:dyDescent="0.45">
      <c r="A736" t="s">
        <v>1211</v>
      </c>
      <c r="B736" s="2">
        <v>45690</v>
      </c>
      <c r="C736" t="s">
        <v>1112</v>
      </c>
      <c r="D736" t="s">
        <v>88</v>
      </c>
      <c r="E736" t="s">
        <v>197</v>
      </c>
      <c r="F736">
        <v>10</v>
      </c>
      <c r="G736" s="3">
        <v>0.15</v>
      </c>
      <c r="H736" t="s">
        <v>14</v>
      </c>
      <c r="I736" t="s">
        <v>27</v>
      </c>
      <c r="J736" t="s">
        <v>16</v>
      </c>
    </row>
    <row r="737" spans="1:10" x14ac:dyDescent="0.45">
      <c r="A737" t="s">
        <v>1212</v>
      </c>
      <c r="B737" s="2">
        <v>45874</v>
      </c>
      <c r="C737" t="s">
        <v>1175</v>
      </c>
      <c r="D737" t="s">
        <v>130</v>
      </c>
      <c r="E737" t="s">
        <v>35</v>
      </c>
      <c r="F737">
        <v>1</v>
      </c>
      <c r="G737" s="3">
        <v>0.15</v>
      </c>
      <c r="H737" t="s">
        <v>14</v>
      </c>
      <c r="I737" t="s">
        <v>54</v>
      </c>
      <c r="J737" t="s">
        <v>21</v>
      </c>
    </row>
    <row r="738" spans="1:10" x14ac:dyDescent="0.45">
      <c r="A738" t="s">
        <v>1213</v>
      </c>
      <c r="B738" s="2">
        <v>45741</v>
      </c>
      <c r="C738" t="s">
        <v>573</v>
      </c>
      <c r="D738" t="s">
        <v>205</v>
      </c>
      <c r="E738" t="s">
        <v>136</v>
      </c>
      <c r="F738">
        <v>5</v>
      </c>
      <c r="G738" s="3">
        <v>0.2</v>
      </c>
      <c r="H738" t="s">
        <v>53</v>
      </c>
      <c r="I738" t="s">
        <v>54</v>
      </c>
      <c r="J738" t="s">
        <v>21</v>
      </c>
    </row>
    <row r="739" spans="1:10" x14ac:dyDescent="0.45">
      <c r="A739" t="s">
        <v>1214</v>
      </c>
      <c r="B739" s="2">
        <v>45752</v>
      </c>
      <c r="C739" t="s">
        <v>276</v>
      </c>
      <c r="D739" t="s">
        <v>439</v>
      </c>
      <c r="E739" t="s">
        <v>35</v>
      </c>
      <c r="F739">
        <v>7</v>
      </c>
      <c r="G739" s="3">
        <v>0.1</v>
      </c>
      <c r="H739" t="s">
        <v>26</v>
      </c>
      <c r="I739" t="s">
        <v>27</v>
      </c>
      <c r="J739" t="s">
        <v>21</v>
      </c>
    </row>
    <row r="740" spans="1:10" x14ac:dyDescent="0.45">
      <c r="A740" t="s">
        <v>1215</v>
      </c>
      <c r="B740" s="2">
        <v>46144</v>
      </c>
      <c r="C740" t="s">
        <v>1216</v>
      </c>
      <c r="D740" t="s">
        <v>230</v>
      </c>
      <c r="E740" t="s">
        <v>47</v>
      </c>
      <c r="F740">
        <v>9</v>
      </c>
      <c r="G740" s="3">
        <v>0.03</v>
      </c>
      <c r="H740" t="s">
        <v>26</v>
      </c>
      <c r="I740" t="s">
        <v>15</v>
      </c>
      <c r="J740" t="s">
        <v>21</v>
      </c>
    </row>
    <row r="741" spans="1:10" x14ac:dyDescent="0.45">
      <c r="A741" t="s">
        <v>1217</v>
      </c>
      <c r="B741" s="2">
        <v>45668</v>
      </c>
      <c r="C741" t="s">
        <v>453</v>
      </c>
      <c r="D741" t="s">
        <v>94</v>
      </c>
      <c r="E741" t="s">
        <v>136</v>
      </c>
      <c r="F741">
        <v>9</v>
      </c>
      <c r="G741" s="3">
        <v>0.05</v>
      </c>
      <c r="H741" t="s">
        <v>14</v>
      </c>
      <c r="I741" t="s">
        <v>54</v>
      </c>
      <c r="J741" t="s">
        <v>21</v>
      </c>
    </row>
    <row r="742" spans="1:10" x14ac:dyDescent="0.45">
      <c r="A742" t="s">
        <v>1218</v>
      </c>
      <c r="B742" s="2">
        <v>45812</v>
      </c>
      <c r="C742" t="s">
        <v>373</v>
      </c>
      <c r="D742" t="s">
        <v>88</v>
      </c>
      <c r="E742" t="s">
        <v>97</v>
      </c>
      <c r="F742">
        <v>8</v>
      </c>
      <c r="G742" s="3">
        <v>0.03</v>
      </c>
      <c r="H742" t="s">
        <v>14</v>
      </c>
      <c r="I742" t="s">
        <v>27</v>
      </c>
      <c r="J742" t="s">
        <v>21</v>
      </c>
    </row>
    <row r="743" spans="1:10" x14ac:dyDescent="0.45">
      <c r="A743" t="s">
        <v>1219</v>
      </c>
      <c r="B743" s="2">
        <v>46191</v>
      </c>
      <c r="C743" t="s">
        <v>716</v>
      </c>
      <c r="D743" t="s">
        <v>68</v>
      </c>
      <c r="E743" t="s">
        <v>152</v>
      </c>
      <c r="F743">
        <v>12</v>
      </c>
      <c r="G743" s="3">
        <v>0</v>
      </c>
      <c r="H743" t="s">
        <v>26</v>
      </c>
      <c r="I743" t="s">
        <v>54</v>
      </c>
      <c r="J743" t="s">
        <v>21</v>
      </c>
    </row>
    <row r="744" spans="1:10" x14ac:dyDescent="0.45">
      <c r="A744" t="s">
        <v>1220</v>
      </c>
      <c r="B744" s="2">
        <v>45695</v>
      </c>
      <c r="C744" t="s">
        <v>371</v>
      </c>
      <c r="D744" t="s">
        <v>78</v>
      </c>
      <c r="E744" t="s">
        <v>31</v>
      </c>
      <c r="F744">
        <v>4</v>
      </c>
      <c r="G744" s="3">
        <v>0.05</v>
      </c>
      <c r="H744" t="s">
        <v>14</v>
      </c>
      <c r="I744" t="s">
        <v>54</v>
      </c>
      <c r="J744" t="s">
        <v>21</v>
      </c>
    </row>
    <row r="745" spans="1:10" x14ac:dyDescent="0.45">
      <c r="A745" t="s">
        <v>1221</v>
      </c>
      <c r="B745" s="2">
        <v>45853</v>
      </c>
      <c r="C745" t="s">
        <v>1089</v>
      </c>
      <c r="D745" t="s">
        <v>170</v>
      </c>
      <c r="E745" t="s">
        <v>115</v>
      </c>
      <c r="F745">
        <v>11</v>
      </c>
      <c r="G745" s="3">
        <v>0</v>
      </c>
      <c r="H745" t="s">
        <v>14</v>
      </c>
      <c r="I745" t="s">
        <v>27</v>
      </c>
      <c r="J745" t="s">
        <v>21</v>
      </c>
    </row>
    <row r="746" spans="1:10" x14ac:dyDescent="0.45">
      <c r="A746" t="s">
        <v>1222</v>
      </c>
      <c r="B746" s="2">
        <v>46169</v>
      </c>
      <c r="C746" t="s">
        <v>251</v>
      </c>
      <c r="D746" t="s">
        <v>233</v>
      </c>
      <c r="E746" t="s">
        <v>31</v>
      </c>
      <c r="F746">
        <v>11</v>
      </c>
      <c r="G746" s="3">
        <v>0.2</v>
      </c>
      <c r="H746" t="s">
        <v>14</v>
      </c>
      <c r="I746" t="s">
        <v>27</v>
      </c>
      <c r="J746" t="s">
        <v>21</v>
      </c>
    </row>
    <row r="747" spans="1:10" x14ac:dyDescent="0.45">
      <c r="A747" t="s">
        <v>1223</v>
      </c>
      <c r="B747" s="2">
        <v>46001</v>
      </c>
      <c r="C747" t="s">
        <v>103</v>
      </c>
      <c r="D747" t="s">
        <v>295</v>
      </c>
      <c r="E747" t="s">
        <v>140</v>
      </c>
      <c r="F747">
        <v>2</v>
      </c>
      <c r="G747" s="3">
        <v>0.03</v>
      </c>
      <c r="H747" t="s">
        <v>14</v>
      </c>
      <c r="I747" t="s">
        <v>27</v>
      </c>
      <c r="J747" t="s">
        <v>21</v>
      </c>
    </row>
    <row r="748" spans="1:10" x14ac:dyDescent="0.45">
      <c r="A748" t="s">
        <v>1224</v>
      </c>
      <c r="B748" s="2">
        <v>46104</v>
      </c>
      <c r="C748" t="s">
        <v>496</v>
      </c>
      <c r="D748" t="s">
        <v>100</v>
      </c>
      <c r="E748" t="s">
        <v>52</v>
      </c>
      <c r="F748">
        <v>7</v>
      </c>
      <c r="G748" s="3">
        <v>0.08</v>
      </c>
      <c r="H748" t="s">
        <v>53</v>
      </c>
      <c r="I748" t="s">
        <v>15</v>
      </c>
      <c r="J748" t="s">
        <v>21</v>
      </c>
    </row>
    <row r="749" spans="1:10" x14ac:dyDescent="0.45">
      <c r="A749" t="s">
        <v>1225</v>
      </c>
      <c r="B749" s="2">
        <v>45747</v>
      </c>
      <c r="C749" t="s">
        <v>1193</v>
      </c>
      <c r="D749" t="s">
        <v>30</v>
      </c>
      <c r="E749" t="s">
        <v>31</v>
      </c>
      <c r="F749">
        <v>2</v>
      </c>
      <c r="G749" s="3">
        <v>0</v>
      </c>
      <c r="H749" t="s">
        <v>53</v>
      </c>
      <c r="I749" t="s">
        <v>15</v>
      </c>
      <c r="J749" t="s">
        <v>21</v>
      </c>
    </row>
    <row r="750" spans="1:10" x14ac:dyDescent="0.45">
      <c r="A750" t="s">
        <v>1226</v>
      </c>
      <c r="B750" s="2">
        <v>45760</v>
      </c>
      <c r="C750" t="s">
        <v>169</v>
      </c>
      <c r="D750" t="s">
        <v>30</v>
      </c>
      <c r="E750" t="s">
        <v>52</v>
      </c>
      <c r="F750">
        <v>11</v>
      </c>
      <c r="G750" s="3">
        <v>0.2</v>
      </c>
      <c r="H750" t="s">
        <v>14</v>
      </c>
      <c r="I750" t="s">
        <v>48</v>
      </c>
      <c r="J750" t="s">
        <v>21</v>
      </c>
    </row>
    <row r="751" spans="1:10" x14ac:dyDescent="0.45">
      <c r="A751" t="s">
        <v>1227</v>
      </c>
      <c r="B751" s="2">
        <v>46123</v>
      </c>
      <c r="C751" t="s">
        <v>740</v>
      </c>
      <c r="D751" t="s">
        <v>130</v>
      </c>
      <c r="E751" t="s">
        <v>218</v>
      </c>
      <c r="F751">
        <v>9</v>
      </c>
      <c r="G751" s="3">
        <v>0.15</v>
      </c>
      <c r="H751" t="s">
        <v>14</v>
      </c>
      <c r="I751" t="s">
        <v>15</v>
      </c>
      <c r="J751" t="s">
        <v>107</v>
      </c>
    </row>
    <row r="752" spans="1:10" x14ac:dyDescent="0.45">
      <c r="A752" t="s">
        <v>1228</v>
      </c>
      <c r="B752" s="2">
        <v>46063</v>
      </c>
      <c r="C752" t="s">
        <v>514</v>
      </c>
      <c r="D752" t="s">
        <v>449</v>
      </c>
      <c r="E752" t="s">
        <v>13</v>
      </c>
      <c r="F752">
        <v>1</v>
      </c>
      <c r="G752" s="3">
        <v>0.1</v>
      </c>
      <c r="H752" t="s">
        <v>53</v>
      </c>
      <c r="I752" t="s">
        <v>27</v>
      </c>
      <c r="J752" t="s">
        <v>21</v>
      </c>
    </row>
    <row r="753" spans="1:10" x14ac:dyDescent="0.45">
      <c r="A753" t="s">
        <v>1229</v>
      </c>
      <c r="B753" s="2">
        <v>46082</v>
      </c>
      <c r="C753" t="s">
        <v>418</v>
      </c>
      <c r="D753" t="s">
        <v>24</v>
      </c>
      <c r="E753" t="s">
        <v>101</v>
      </c>
      <c r="F753">
        <v>11</v>
      </c>
      <c r="G753" s="3">
        <v>0.05</v>
      </c>
      <c r="H753" t="s">
        <v>14</v>
      </c>
      <c r="I753" t="s">
        <v>15</v>
      </c>
      <c r="J753" t="s">
        <v>21</v>
      </c>
    </row>
    <row r="754" spans="1:10" x14ac:dyDescent="0.45">
      <c r="A754" t="s">
        <v>1230</v>
      </c>
      <c r="B754" s="2">
        <v>46189</v>
      </c>
      <c r="C754" t="s">
        <v>317</v>
      </c>
      <c r="D754" t="s">
        <v>246</v>
      </c>
      <c r="E754" t="s">
        <v>58</v>
      </c>
      <c r="F754">
        <v>12</v>
      </c>
      <c r="G754" s="3">
        <v>0.1</v>
      </c>
      <c r="H754" t="s">
        <v>14</v>
      </c>
      <c r="I754" t="s">
        <v>15</v>
      </c>
      <c r="J754" t="s">
        <v>21</v>
      </c>
    </row>
    <row r="755" spans="1:10" x14ac:dyDescent="0.45">
      <c r="A755" t="s">
        <v>1231</v>
      </c>
      <c r="B755" s="2">
        <v>46060</v>
      </c>
      <c r="C755" t="s">
        <v>508</v>
      </c>
      <c r="D755" t="s">
        <v>71</v>
      </c>
      <c r="E755" t="s">
        <v>82</v>
      </c>
      <c r="F755">
        <v>1</v>
      </c>
      <c r="G755" s="3">
        <v>0.15</v>
      </c>
      <c r="H755" t="s">
        <v>14</v>
      </c>
      <c r="I755" t="s">
        <v>15</v>
      </c>
      <c r="J755" t="s">
        <v>107</v>
      </c>
    </row>
    <row r="756" spans="1:10" x14ac:dyDescent="0.45">
      <c r="A756" t="s">
        <v>1232</v>
      </c>
      <c r="B756" s="2">
        <v>46187</v>
      </c>
      <c r="C756" t="s">
        <v>117</v>
      </c>
      <c r="D756" t="s">
        <v>380</v>
      </c>
      <c r="E756" t="s">
        <v>281</v>
      </c>
      <c r="F756">
        <v>3</v>
      </c>
      <c r="G756" s="3">
        <v>0.15</v>
      </c>
      <c r="H756" t="s">
        <v>14</v>
      </c>
      <c r="I756" t="s">
        <v>54</v>
      </c>
      <c r="J756" t="s">
        <v>21</v>
      </c>
    </row>
    <row r="757" spans="1:10" x14ac:dyDescent="0.45">
      <c r="A757" t="s">
        <v>1233</v>
      </c>
      <c r="B757" s="2">
        <v>45924</v>
      </c>
      <c r="C757" t="s">
        <v>580</v>
      </c>
      <c r="D757" t="s">
        <v>94</v>
      </c>
      <c r="E757" t="s">
        <v>136</v>
      </c>
      <c r="F757">
        <v>9</v>
      </c>
      <c r="G757" s="3">
        <v>0.03</v>
      </c>
      <c r="H757" t="s">
        <v>26</v>
      </c>
      <c r="I757" t="s">
        <v>54</v>
      </c>
      <c r="J757" t="s">
        <v>21</v>
      </c>
    </row>
    <row r="758" spans="1:10" x14ac:dyDescent="0.45">
      <c r="A758" t="s">
        <v>1234</v>
      </c>
      <c r="B758" s="2">
        <v>45814</v>
      </c>
      <c r="C758" t="s">
        <v>317</v>
      </c>
      <c r="D758" t="s">
        <v>235</v>
      </c>
      <c r="E758" t="s">
        <v>97</v>
      </c>
      <c r="F758">
        <v>1</v>
      </c>
      <c r="G758" s="3">
        <v>0</v>
      </c>
      <c r="H758" t="s">
        <v>14</v>
      </c>
      <c r="I758" t="s">
        <v>48</v>
      </c>
      <c r="J758" t="s">
        <v>59</v>
      </c>
    </row>
    <row r="759" spans="1:10" x14ac:dyDescent="0.45">
      <c r="A759" t="s">
        <v>1235</v>
      </c>
      <c r="B759" s="2">
        <v>46024</v>
      </c>
      <c r="C759" t="s">
        <v>876</v>
      </c>
      <c r="D759" t="s">
        <v>75</v>
      </c>
      <c r="E759" t="s">
        <v>25</v>
      </c>
      <c r="F759">
        <v>3</v>
      </c>
      <c r="G759" s="3">
        <v>0.05</v>
      </c>
      <c r="H759" t="s">
        <v>53</v>
      </c>
      <c r="I759" t="s">
        <v>54</v>
      </c>
      <c r="J759" t="s">
        <v>21</v>
      </c>
    </row>
    <row r="760" spans="1:10" x14ac:dyDescent="0.45">
      <c r="A760" t="s">
        <v>1236</v>
      </c>
      <c r="B760" s="2">
        <v>46045</v>
      </c>
      <c r="C760" t="s">
        <v>482</v>
      </c>
      <c r="D760" t="s">
        <v>410</v>
      </c>
      <c r="E760" t="s">
        <v>111</v>
      </c>
      <c r="F760">
        <v>5</v>
      </c>
      <c r="G760" s="3">
        <v>0</v>
      </c>
      <c r="H760" t="s">
        <v>14</v>
      </c>
      <c r="I760" t="s">
        <v>54</v>
      </c>
      <c r="J760" t="s">
        <v>21</v>
      </c>
    </row>
    <row r="761" spans="1:10" x14ac:dyDescent="0.45">
      <c r="A761" t="s">
        <v>1237</v>
      </c>
      <c r="B761" s="2">
        <v>45771</v>
      </c>
      <c r="C761" t="s">
        <v>913</v>
      </c>
      <c r="D761" t="s">
        <v>78</v>
      </c>
      <c r="E761" t="s">
        <v>31</v>
      </c>
      <c r="F761">
        <v>8</v>
      </c>
      <c r="G761" s="3">
        <v>0</v>
      </c>
      <c r="H761" t="s">
        <v>14</v>
      </c>
      <c r="I761" t="s">
        <v>27</v>
      </c>
      <c r="J761" t="s">
        <v>21</v>
      </c>
    </row>
    <row r="762" spans="1:10" x14ac:dyDescent="0.45">
      <c r="A762" t="s">
        <v>1238</v>
      </c>
      <c r="B762" s="2">
        <v>46164</v>
      </c>
      <c r="C762" t="s">
        <v>297</v>
      </c>
      <c r="D762" t="s">
        <v>46</v>
      </c>
      <c r="E762" t="s">
        <v>127</v>
      </c>
      <c r="F762">
        <v>6</v>
      </c>
      <c r="G762" s="3">
        <v>0.05</v>
      </c>
      <c r="H762" t="s">
        <v>14</v>
      </c>
      <c r="I762" t="s">
        <v>15</v>
      </c>
      <c r="J762" t="s">
        <v>16</v>
      </c>
    </row>
    <row r="763" spans="1:10" x14ac:dyDescent="0.45">
      <c r="A763" t="s">
        <v>1239</v>
      </c>
      <c r="B763" s="2">
        <v>45736</v>
      </c>
      <c r="C763" t="s">
        <v>50</v>
      </c>
      <c r="D763" t="s">
        <v>39</v>
      </c>
      <c r="E763" t="s">
        <v>47</v>
      </c>
      <c r="F763">
        <v>4</v>
      </c>
      <c r="G763" s="3">
        <v>0.15</v>
      </c>
      <c r="H763" t="s">
        <v>14</v>
      </c>
      <c r="I763" t="s">
        <v>27</v>
      </c>
      <c r="J763" t="s">
        <v>21</v>
      </c>
    </row>
    <row r="764" spans="1:10" x14ac:dyDescent="0.45">
      <c r="A764" t="s">
        <v>1240</v>
      </c>
      <c r="B764" s="2">
        <v>45963</v>
      </c>
      <c r="C764" t="s">
        <v>74</v>
      </c>
      <c r="D764" t="s">
        <v>100</v>
      </c>
      <c r="E764" t="s">
        <v>144</v>
      </c>
      <c r="F764">
        <v>1</v>
      </c>
      <c r="G764" s="3">
        <v>0.03</v>
      </c>
      <c r="H764" t="s">
        <v>53</v>
      </c>
      <c r="I764" t="s">
        <v>48</v>
      </c>
      <c r="J764" t="s">
        <v>21</v>
      </c>
    </row>
    <row r="765" spans="1:10" x14ac:dyDescent="0.45">
      <c r="A765" t="s">
        <v>1241</v>
      </c>
      <c r="B765" s="2">
        <v>45663</v>
      </c>
      <c r="C765" t="s">
        <v>84</v>
      </c>
      <c r="D765" t="s">
        <v>170</v>
      </c>
      <c r="E765" t="s">
        <v>47</v>
      </c>
      <c r="F765">
        <v>3</v>
      </c>
      <c r="G765" s="3">
        <v>0.08</v>
      </c>
      <c r="H765" t="s">
        <v>26</v>
      </c>
      <c r="I765" t="s">
        <v>54</v>
      </c>
      <c r="J765" t="s">
        <v>21</v>
      </c>
    </row>
    <row r="766" spans="1:10" x14ac:dyDescent="0.45">
      <c r="A766" t="s">
        <v>1242</v>
      </c>
      <c r="B766" s="2">
        <v>46182</v>
      </c>
      <c r="C766" t="s">
        <v>482</v>
      </c>
      <c r="D766" t="s">
        <v>217</v>
      </c>
      <c r="E766" t="s">
        <v>140</v>
      </c>
      <c r="F766">
        <v>3</v>
      </c>
      <c r="G766" s="3">
        <v>0.05</v>
      </c>
      <c r="H766" t="s">
        <v>53</v>
      </c>
      <c r="I766" t="s">
        <v>48</v>
      </c>
      <c r="J766" t="s">
        <v>36</v>
      </c>
    </row>
    <row r="767" spans="1:10" x14ac:dyDescent="0.45">
      <c r="A767" t="s">
        <v>1243</v>
      </c>
      <c r="B767" s="2">
        <v>45883</v>
      </c>
      <c r="C767" t="s">
        <v>974</v>
      </c>
      <c r="D767" t="s">
        <v>135</v>
      </c>
      <c r="E767" t="s">
        <v>225</v>
      </c>
      <c r="F767">
        <v>2</v>
      </c>
      <c r="G767" s="3">
        <v>0.03</v>
      </c>
      <c r="H767" t="s">
        <v>14</v>
      </c>
      <c r="I767" t="s">
        <v>15</v>
      </c>
      <c r="J767" t="s">
        <v>21</v>
      </c>
    </row>
    <row r="768" spans="1:10" x14ac:dyDescent="0.45">
      <c r="A768" t="s">
        <v>1244</v>
      </c>
      <c r="B768" s="2">
        <v>45959</v>
      </c>
      <c r="C768" t="s">
        <v>663</v>
      </c>
      <c r="D768" t="s">
        <v>170</v>
      </c>
      <c r="E768" t="s">
        <v>72</v>
      </c>
      <c r="F768">
        <v>8</v>
      </c>
      <c r="G768" s="3">
        <v>0.2</v>
      </c>
      <c r="H768" t="s">
        <v>14</v>
      </c>
      <c r="I768" t="s">
        <v>15</v>
      </c>
      <c r="J768" t="s">
        <v>36</v>
      </c>
    </row>
    <row r="769" spans="1:10" x14ac:dyDescent="0.45">
      <c r="A769" t="s">
        <v>1245</v>
      </c>
      <c r="B769" s="2">
        <v>45945</v>
      </c>
      <c r="C769" t="s">
        <v>997</v>
      </c>
      <c r="D769" t="s">
        <v>185</v>
      </c>
      <c r="E769" t="s">
        <v>115</v>
      </c>
      <c r="F769">
        <v>7</v>
      </c>
      <c r="G769" s="3">
        <v>0</v>
      </c>
      <c r="H769" t="s">
        <v>14</v>
      </c>
      <c r="I769" t="s">
        <v>27</v>
      </c>
      <c r="J769" t="s">
        <v>21</v>
      </c>
    </row>
    <row r="770" spans="1:10" x14ac:dyDescent="0.45">
      <c r="A770" t="s">
        <v>1246</v>
      </c>
      <c r="B770" s="2">
        <v>46114</v>
      </c>
      <c r="C770" t="s">
        <v>601</v>
      </c>
      <c r="D770" t="s">
        <v>210</v>
      </c>
      <c r="E770" t="s">
        <v>13</v>
      </c>
      <c r="F770">
        <v>7</v>
      </c>
      <c r="G770" s="3">
        <v>0.08</v>
      </c>
      <c r="H770" t="s">
        <v>53</v>
      </c>
      <c r="I770" t="s">
        <v>48</v>
      </c>
      <c r="J770" t="s">
        <v>21</v>
      </c>
    </row>
    <row r="771" spans="1:10" x14ac:dyDescent="0.45">
      <c r="A771" t="s">
        <v>1247</v>
      </c>
      <c r="B771" s="2">
        <v>46019</v>
      </c>
      <c r="C771" t="s">
        <v>178</v>
      </c>
      <c r="D771" t="s">
        <v>430</v>
      </c>
      <c r="E771" t="s">
        <v>197</v>
      </c>
      <c r="F771">
        <v>6</v>
      </c>
      <c r="G771" s="3">
        <v>0</v>
      </c>
      <c r="H771" t="s">
        <v>14</v>
      </c>
      <c r="I771" t="s">
        <v>48</v>
      </c>
      <c r="J771" t="s">
        <v>107</v>
      </c>
    </row>
    <row r="772" spans="1:10" x14ac:dyDescent="0.45">
      <c r="A772" t="s">
        <v>1248</v>
      </c>
      <c r="B772" s="2">
        <v>45958</v>
      </c>
      <c r="C772" t="s">
        <v>172</v>
      </c>
      <c r="D772" t="s">
        <v>191</v>
      </c>
      <c r="E772" t="s">
        <v>13</v>
      </c>
      <c r="F772">
        <v>10</v>
      </c>
      <c r="G772" s="3">
        <v>0.1</v>
      </c>
      <c r="H772" t="s">
        <v>14</v>
      </c>
      <c r="I772" t="s">
        <v>48</v>
      </c>
      <c r="J772" t="s">
        <v>21</v>
      </c>
    </row>
    <row r="773" spans="1:10" x14ac:dyDescent="0.45">
      <c r="A773" t="s">
        <v>1249</v>
      </c>
      <c r="B773" s="2">
        <v>46024</v>
      </c>
      <c r="C773" t="s">
        <v>451</v>
      </c>
      <c r="D773" t="s">
        <v>295</v>
      </c>
      <c r="E773" t="s">
        <v>144</v>
      </c>
      <c r="F773">
        <v>4</v>
      </c>
      <c r="G773" s="3">
        <v>0</v>
      </c>
      <c r="H773" t="s">
        <v>14</v>
      </c>
      <c r="I773" t="s">
        <v>27</v>
      </c>
      <c r="J773" t="s">
        <v>21</v>
      </c>
    </row>
    <row r="774" spans="1:10" x14ac:dyDescent="0.45">
      <c r="A774" t="s">
        <v>1250</v>
      </c>
      <c r="B774" s="2">
        <v>45667</v>
      </c>
      <c r="C774" t="s">
        <v>771</v>
      </c>
      <c r="D774" t="s">
        <v>88</v>
      </c>
      <c r="E774" t="s">
        <v>31</v>
      </c>
      <c r="F774">
        <v>6</v>
      </c>
      <c r="G774" s="3">
        <v>0</v>
      </c>
      <c r="H774" t="s">
        <v>53</v>
      </c>
      <c r="I774" t="s">
        <v>54</v>
      </c>
      <c r="J774" t="s">
        <v>21</v>
      </c>
    </row>
    <row r="775" spans="1:10" x14ac:dyDescent="0.45">
      <c r="A775" t="s">
        <v>1251</v>
      </c>
      <c r="B775" s="2">
        <v>45725</v>
      </c>
      <c r="C775" t="s">
        <v>163</v>
      </c>
      <c r="D775" t="s">
        <v>135</v>
      </c>
      <c r="E775" t="s">
        <v>218</v>
      </c>
      <c r="F775">
        <v>7</v>
      </c>
      <c r="G775" s="3">
        <v>0.08</v>
      </c>
      <c r="H775" t="s">
        <v>53</v>
      </c>
      <c r="I775" t="s">
        <v>54</v>
      </c>
      <c r="J775" t="s">
        <v>21</v>
      </c>
    </row>
    <row r="776" spans="1:10" x14ac:dyDescent="0.45">
      <c r="A776" t="s">
        <v>1252</v>
      </c>
      <c r="B776" s="2">
        <v>45734</v>
      </c>
      <c r="C776" t="s">
        <v>1253</v>
      </c>
      <c r="D776" t="s">
        <v>114</v>
      </c>
      <c r="E776" t="s">
        <v>20</v>
      </c>
      <c r="F776">
        <v>10</v>
      </c>
      <c r="G776" s="3">
        <v>0.15</v>
      </c>
      <c r="H776" t="s">
        <v>53</v>
      </c>
      <c r="I776" t="s">
        <v>15</v>
      </c>
      <c r="J776" t="s">
        <v>21</v>
      </c>
    </row>
    <row r="777" spans="1:10" x14ac:dyDescent="0.45">
      <c r="A777" t="s">
        <v>1254</v>
      </c>
      <c r="B777" s="2">
        <v>45708</v>
      </c>
      <c r="C777" t="s">
        <v>893</v>
      </c>
      <c r="D777" t="s">
        <v>430</v>
      </c>
      <c r="E777" t="s">
        <v>115</v>
      </c>
      <c r="F777">
        <v>8</v>
      </c>
      <c r="G777" s="3">
        <v>0.2</v>
      </c>
      <c r="H777" t="s">
        <v>14</v>
      </c>
      <c r="I777" t="s">
        <v>27</v>
      </c>
      <c r="J777" t="s">
        <v>21</v>
      </c>
    </row>
    <row r="778" spans="1:10" x14ac:dyDescent="0.45">
      <c r="A778" t="s">
        <v>1255</v>
      </c>
      <c r="B778" s="2">
        <v>45992</v>
      </c>
      <c r="C778" t="s">
        <v>1032</v>
      </c>
      <c r="D778" t="s">
        <v>62</v>
      </c>
      <c r="E778" t="s">
        <v>144</v>
      </c>
      <c r="F778">
        <v>10</v>
      </c>
      <c r="G778" s="3">
        <v>0.15</v>
      </c>
      <c r="H778" t="s">
        <v>14</v>
      </c>
      <c r="I778" t="s">
        <v>48</v>
      </c>
      <c r="J778" t="s">
        <v>21</v>
      </c>
    </row>
    <row r="779" spans="1:10" x14ac:dyDescent="0.45">
      <c r="A779" t="s">
        <v>1256</v>
      </c>
      <c r="B779" s="2">
        <v>46130</v>
      </c>
      <c r="C779" t="s">
        <v>212</v>
      </c>
      <c r="D779" t="s">
        <v>94</v>
      </c>
      <c r="E779" t="s">
        <v>97</v>
      </c>
      <c r="F779">
        <v>5</v>
      </c>
      <c r="G779" s="3">
        <v>0.03</v>
      </c>
      <c r="H779" t="s">
        <v>53</v>
      </c>
      <c r="I779" t="s">
        <v>15</v>
      </c>
      <c r="J779" t="s">
        <v>21</v>
      </c>
    </row>
    <row r="780" spans="1:10" x14ac:dyDescent="0.45">
      <c r="A780" t="s">
        <v>1257</v>
      </c>
      <c r="B780" s="2">
        <v>46003</v>
      </c>
      <c r="C780" t="s">
        <v>338</v>
      </c>
      <c r="D780" t="s">
        <v>404</v>
      </c>
      <c r="E780" t="s">
        <v>35</v>
      </c>
      <c r="F780">
        <v>11</v>
      </c>
      <c r="G780" s="3">
        <v>0</v>
      </c>
      <c r="H780" t="s">
        <v>14</v>
      </c>
      <c r="I780" t="s">
        <v>48</v>
      </c>
      <c r="J780" t="s">
        <v>16</v>
      </c>
    </row>
    <row r="781" spans="1:10" x14ac:dyDescent="0.45">
      <c r="A781" t="s">
        <v>1258</v>
      </c>
      <c r="B781" s="2">
        <v>45982</v>
      </c>
      <c r="C781" t="s">
        <v>214</v>
      </c>
      <c r="D781" t="s">
        <v>391</v>
      </c>
      <c r="E781" t="s">
        <v>152</v>
      </c>
      <c r="F781">
        <v>6</v>
      </c>
      <c r="G781" s="3">
        <v>0.15</v>
      </c>
      <c r="H781" t="s">
        <v>14</v>
      </c>
      <c r="I781" t="s">
        <v>27</v>
      </c>
      <c r="J781" t="s">
        <v>21</v>
      </c>
    </row>
    <row r="782" spans="1:10" x14ac:dyDescent="0.45">
      <c r="A782" t="s">
        <v>1259</v>
      </c>
      <c r="B782" s="2">
        <v>46123</v>
      </c>
      <c r="C782" t="s">
        <v>744</v>
      </c>
      <c r="D782" t="s">
        <v>318</v>
      </c>
      <c r="E782" t="s">
        <v>101</v>
      </c>
      <c r="F782">
        <v>8</v>
      </c>
      <c r="G782" s="3">
        <v>0</v>
      </c>
      <c r="H782" t="s">
        <v>53</v>
      </c>
      <c r="I782" t="s">
        <v>48</v>
      </c>
      <c r="J782" t="s">
        <v>21</v>
      </c>
    </row>
    <row r="783" spans="1:10" x14ac:dyDescent="0.45">
      <c r="A783" t="s">
        <v>1260</v>
      </c>
      <c r="B783" s="2">
        <v>45765</v>
      </c>
      <c r="C783" t="s">
        <v>744</v>
      </c>
      <c r="D783" t="s">
        <v>110</v>
      </c>
      <c r="E783" t="s">
        <v>225</v>
      </c>
      <c r="F783">
        <v>6</v>
      </c>
      <c r="G783" s="3">
        <v>0.15</v>
      </c>
      <c r="H783" t="s">
        <v>14</v>
      </c>
      <c r="I783" t="s">
        <v>48</v>
      </c>
      <c r="J783" t="s">
        <v>21</v>
      </c>
    </row>
    <row r="784" spans="1:10" x14ac:dyDescent="0.45">
      <c r="A784" t="s">
        <v>1261</v>
      </c>
      <c r="B784" s="2">
        <v>45663</v>
      </c>
      <c r="C784" t="s">
        <v>390</v>
      </c>
      <c r="D784" t="s">
        <v>139</v>
      </c>
      <c r="E784" t="s">
        <v>52</v>
      </c>
      <c r="F784">
        <v>12</v>
      </c>
      <c r="G784" s="3">
        <v>0</v>
      </c>
      <c r="H784" t="s">
        <v>14</v>
      </c>
      <c r="I784" t="s">
        <v>48</v>
      </c>
      <c r="J784" t="s">
        <v>21</v>
      </c>
    </row>
    <row r="785" spans="1:10" x14ac:dyDescent="0.45">
      <c r="A785" t="s">
        <v>1262</v>
      </c>
      <c r="B785" s="2">
        <v>45995</v>
      </c>
      <c r="C785" t="s">
        <v>980</v>
      </c>
      <c r="D785" t="s">
        <v>39</v>
      </c>
      <c r="E785" t="s">
        <v>152</v>
      </c>
      <c r="F785">
        <v>12</v>
      </c>
      <c r="G785" s="3">
        <v>0.15</v>
      </c>
      <c r="H785" t="s">
        <v>14</v>
      </c>
      <c r="I785" t="s">
        <v>54</v>
      </c>
      <c r="J785" t="s">
        <v>36</v>
      </c>
    </row>
    <row r="786" spans="1:10" x14ac:dyDescent="0.45">
      <c r="A786" t="s">
        <v>1263</v>
      </c>
      <c r="B786" s="2">
        <v>45787</v>
      </c>
      <c r="C786" t="s">
        <v>93</v>
      </c>
      <c r="D786" t="s">
        <v>75</v>
      </c>
      <c r="E786" t="s">
        <v>31</v>
      </c>
      <c r="F786">
        <v>6</v>
      </c>
      <c r="G786" s="3">
        <v>0.03</v>
      </c>
      <c r="H786" t="s">
        <v>53</v>
      </c>
      <c r="I786" t="s">
        <v>15</v>
      </c>
      <c r="J786" t="s">
        <v>21</v>
      </c>
    </row>
    <row r="787" spans="1:10" x14ac:dyDescent="0.45">
      <c r="A787" t="s">
        <v>1264</v>
      </c>
      <c r="B787" s="2">
        <v>46198</v>
      </c>
      <c r="C787" t="s">
        <v>1265</v>
      </c>
      <c r="D787" t="s">
        <v>155</v>
      </c>
      <c r="E787" t="s">
        <v>140</v>
      </c>
      <c r="F787">
        <v>4</v>
      </c>
      <c r="G787" s="3">
        <v>0.2</v>
      </c>
      <c r="H787" t="s">
        <v>53</v>
      </c>
      <c r="I787" t="s">
        <v>27</v>
      </c>
      <c r="J787" t="s">
        <v>21</v>
      </c>
    </row>
    <row r="788" spans="1:10" x14ac:dyDescent="0.45">
      <c r="A788" t="s">
        <v>1266</v>
      </c>
      <c r="B788" s="2">
        <v>45752</v>
      </c>
      <c r="C788" t="s">
        <v>543</v>
      </c>
      <c r="D788" t="s">
        <v>238</v>
      </c>
      <c r="E788" t="s">
        <v>218</v>
      </c>
      <c r="F788">
        <v>5</v>
      </c>
      <c r="G788" s="3">
        <v>0.08</v>
      </c>
      <c r="H788" t="s">
        <v>53</v>
      </c>
      <c r="I788" t="s">
        <v>27</v>
      </c>
      <c r="J788" t="s">
        <v>21</v>
      </c>
    </row>
    <row r="789" spans="1:10" x14ac:dyDescent="0.45">
      <c r="A789" t="s">
        <v>1267</v>
      </c>
      <c r="B789" s="2">
        <v>45737</v>
      </c>
      <c r="C789" t="s">
        <v>518</v>
      </c>
      <c r="D789" t="s">
        <v>249</v>
      </c>
      <c r="E789" t="s">
        <v>72</v>
      </c>
      <c r="F789">
        <v>2</v>
      </c>
      <c r="G789" s="3">
        <v>0.2</v>
      </c>
      <c r="H789" t="s">
        <v>14</v>
      </c>
      <c r="I789" t="s">
        <v>48</v>
      </c>
      <c r="J789" t="s">
        <v>59</v>
      </c>
    </row>
    <row r="790" spans="1:10" x14ac:dyDescent="0.45">
      <c r="A790" t="s">
        <v>1268</v>
      </c>
      <c r="B790" s="2">
        <v>46157</v>
      </c>
      <c r="C790" t="s">
        <v>798</v>
      </c>
      <c r="D790" t="s">
        <v>456</v>
      </c>
      <c r="E790" t="s">
        <v>115</v>
      </c>
      <c r="F790">
        <v>2</v>
      </c>
      <c r="G790" s="3">
        <v>0.1</v>
      </c>
      <c r="H790" t="s">
        <v>14</v>
      </c>
      <c r="I790" t="s">
        <v>27</v>
      </c>
      <c r="J790" t="s">
        <v>59</v>
      </c>
    </row>
    <row r="791" spans="1:10" x14ac:dyDescent="0.45">
      <c r="A791" t="s">
        <v>1269</v>
      </c>
      <c r="B791" s="2">
        <v>45815</v>
      </c>
      <c r="C791" t="s">
        <v>427</v>
      </c>
      <c r="D791" t="s">
        <v>75</v>
      </c>
      <c r="E791" t="s">
        <v>25</v>
      </c>
      <c r="F791">
        <v>9</v>
      </c>
      <c r="G791" s="3">
        <v>0</v>
      </c>
      <c r="H791" t="s">
        <v>26</v>
      </c>
      <c r="I791" t="s">
        <v>54</v>
      </c>
      <c r="J791" t="s">
        <v>36</v>
      </c>
    </row>
    <row r="792" spans="1:10" x14ac:dyDescent="0.45">
      <c r="A792" t="s">
        <v>1270</v>
      </c>
      <c r="B792" s="2">
        <v>46183</v>
      </c>
      <c r="C792" t="s">
        <v>1271</v>
      </c>
      <c r="D792" t="s">
        <v>62</v>
      </c>
      <c r="E792" t="s">
        <v>82</v>
      </c>
      <c r="F792">
        <v>4</v>
      </c>
      <c r="G792" s="3">
        <v>0.15</v>
      </c>
      <c r="H792" t="s">
        <v>14</v>
      </c>
      <c r="I792" t="s">
        <v>27</v>
      </c>
      <c r="J792" t="s">
        <v>21</v>
      </c>
    </row>
    <row r="793" spans="1:10" x14ac:dyDescent="0.45">
      <c r="A793" t="s">
        <v>1272</v>
      </c>
      <c r="B793" s="2">
        <v>45762</v>
      </c>
      <c r="C793" t="s">
        <v>777</v>
      </c>
      <c r="D793" t="s">
        <v>320</v>
      </c>
      <c r="E793" t="s">
        <v>197</v>
      </c>
      <c r="F793">
        <v>3</v>
      </c>
      <c r="G793" s="3">
        <v>0.2</v>
      </c>
      <c r="H793" t="s">
        <v>53</v>
      </c>
      <c r="I793" t="s">
        <v>48</v>
      </c>
      <c r="J793" t="s">
        <v>21</v>
      </c>
    </row>
    <row r="794" spans="1:10" x14ac:dyDescent="0.45">
      <c r="A794" t="s">
        <v>1273</v>
      </c>
      <c r="B794" s="2">
        <v>45687</v>
      </c>
      <c r="C794" t="s">
        <v>291</v>
      </c>
      <c r="D794" t="s">
        <v>439</v>
      </c>
      <c r="E794" t="s">
        <v>152</v>
      </c>
      <c r="F794">
        <v>8</v>
      </c>
      <c r="G794" s="3">
        <v>0.2</v>
      </c>
      <c r="H794" t="s">
        <v>14</v>
      </c>
      <c r="I794" t="s">
        <v>48</v>
      </c>
      <c r="J794" t="s">
        <v>36</v>
      </c>
    </row>
    <row r="795" spans="1:10" x14ac:dyDescent="0.45">
      <c r="A795" t="s">
        <v>1274</v>
      </c>
      <c r="B795" s="2">
        <v>45875</v>
      </c>
      <c r="C795" t="s">
        <v>927</v>
      </c>
      <c r="D795" t="s">
        <v>158</v>
      </c>
      <c r="E795" t="s">
        <v>13</v>
      </c>
      <c r="F795">
        <v>3</v>
      </c>
      <c r="G795" s="3">
        <v>0.15</v>
      </c>
      <c r="H795" t="s">
        <v>14</v>
      </c>
      <c r="I795" t="s">
        <v>27</v>
      </c>
      <c r="J795" t="s">
        <v>21</v>
      </c>
    </row>
    <row r="796" spans="1:10" x14ac:dyDescent="0.45">
      <c r="A796" t="s">
        <v>1275</v>
      </c>
      <c r="B796" s="2">
        <v>45708</v>
      </c>
      <c r="C796" t="s">
        <v>746</v>
      </c>
      <c r="D796" t="s">
        <v>139</v>
      </c>
      <c r="E796" t="s">
        <v>31</v>
      </c>
      <c r="F796">
        <v>11</v>
      </c>
      <c r="G796" s="3">
        <v>0.15</v>
      </c>
      <c r="H796" t="s">
        <v>53</v>
      </c>
      <c r="I796" t="s">
        <v>15</v>
      </c>
      <c r="J796" t="s">
        <v>21</v>
      </c>
    </row>
    <row r="797" spans="1:10" x14ac:dyDescent="0.45">
      <c r="A797" t="s">
        <v>1276</v>
      </c>
      <c r="B797" s="2">
        <v>45940</v>
      </c>
      <c r="C797" t="s">
        <v>332</v>
      </c>
      <c r="D797" t="s">
        <v>380</v>
      </c>
      <c r="E797" t="s">
        <v>144</v>
      </c>
      <c r="F797">
        <v>9</v>
      </c>
      <c r="G797" s="3">
        <v>0.2</v>
      </c>
      <c r="H797" t="s">
        <v>14</v>
      </c>
      <c r="I797" t="s">
        <v>48</v>
      </c>
      <c r="J797" t="s">
        <v>59</v>
      </c>
    </row>
    <row r="798" spans="1:10" x14ac:dyDescent="0.45">
      <c r="A798" t="s">
        <v>1277</v>
      </c>
      <c r="B798" s="2">
        <v>45882</v>
      </c>
      <c r="C798" t="s">
        <v>1278</v>
      </c>
      <c r="D798" t="s">
        <v>410</v>
      </c>
      <c r="E798" t="s">
        <v>31</v>
      </c>
      <c r="F798">
        <v>2</v>
      </c>
      <c r="G798" s="3">
        <v>0</v>
      </c>
      <c r="H798" t="s">
        <v>53</v>
      </c>
      <c r="I798" t="s">
        <v>27</v>
      </c>
      <c r="J798" t="s">
        <v>21</v>
      </c>
    </row>
    <row r="799" spans="1:10" x14ac:dyDescent="0.45">
      <c r="A799" t="s">
        <v>1279</v>
      </c>
      <c r="B799" s="2">
        <v>45889</v>
      </c>
      <c r="C799" t="s">
        <v>232</v>
      </c>
      <c r="D799" t="s">
        <v>143</v>
      </c>
      <c r="E799" t="s">
        <v>152</v>
      </c>
      <c r="F799">
        <v>10</v>
      </c>
      <c r="G799" s="3">
        <v>0.15</v>
      </c>
      <c r="H799" t="s">
        <v>14</v>
      </c>
      <c r="I799" t="s">
        <v>48</v>
      </c>
      <c r="J799" t="s">
        <v>21</v>
      </c>
    </row>
    <row r="800" spans="1:10" x14ac:dyDescent="0.45">
      <c r="A800" t="s">
        <v>1280</v>
      </c>
      <c r="B800" s="2">
        <v>45868</v>
      </c>
      <c r="C800" t="s">
        <v>453</v>
      </c>
      <c r="D800" t="s">
        <v>312</v>
      </c>
      <c r="E800" t="s">
        <v>47</v>
      </c>
      <c r="F800">
        <v>3</v>
      </c>
      <c r="G800" s="3">
        <v>0.05</v>
      </c>
      <c r="H800" t="s">
        <v>14</v>
      </c>
      <c r="I800" t="s">
        <v>27</v>
      </c>
      <c r="J800" t="s">
        <v>59</v>
      </c>
    </row>
    <row r="801" spans="1:10" x14ac:dyDescent="0.45">
      <c r="A801" t="s">
        <v>1281</v>
      </c>
      <c r="B801" s="2">
        <v>45847</v>
      </c>
      <c r="C801" t="s">
        <v>1282</v>
      </c>
      <c r="D801" t="s">
        <v>1283</v>
      </c>
      <c r="E801" t="s">
        <v>31</v>
      </c>
      <c r="F801">
        <v>9</v>
      </c>
      <c r="G801" s="3">
        <v>0.2</v>
      </c>
      <c r="H801" t="s">
        <v>53</v>
      </c>
      <c r="I801" t="s">
        <v>54</v>
      </c>
      <c r="J801" t="s">
        <v>21</v>
      </c>
    </row>
    <row r="802" spans="1:10" x14ac:dyDescent="0.45">
      <c r="A802" t="s">
        <v>1284</v>
      </c>
      <c r="B802" s="2">
        <v>45849</v>
      </c>
      <c r="C802" t="s">
        <v>863</v>
      </c>
      <c r="D802" t="s">
        <v>277</v>
      </c>
      <c r="E802" t="s">
        <v>144</v>
      </c>
      <c r="F802">
        <v>6</v>
      </c>
      <c r="G802" s="3">
        <v>0.2</v>
      </c>
      <c r="H802" t="s">
        <v>14</v>
      </c>
      <c r="I802" t="s">
        <v>48</v>
      </c>
      <c r="J802" t="s">
        <v>21</v>
      </c>
    </row>
    <row r="803" spans="1:10" x14ac:dyDescent="0.45">
      <c r="A803" t="s">
        <v>1285</v>
      </c>
      <c r="B803" s="2">
        <v>45839</v>
      </c>
      <c r="C803" t="s">
        <v>178</v>
      </c>
      <c r="D803" t="s">
        <v>148</v>
      </c>
      <c r="E803" t="s">
        <v>97</v>
      </c>
      <c r="F803">
        <v>5</v>
      </c>
      <c r="G803" s="3">
        <v>0</v>
      </c>
      <c r="H803" t="s">
        <v>14</v>
      </c>
      <c r="I803" t="s">
        <v>48</v>
      </c>
      <c r="J803" t="s">
        <v>21</v>
      </c>
    </row>
    <row r="804" spans="1:10" x14ac:dyDescent="0.45">
      <c r="A804" t="s">
        <v>1286</v>
      </c>
      <c r="B804" s="2">
        <v>46158</v>
      </c>
      <c r="C804" t="s">
        <v>1175</v>
      </c>
      <c r="D804" t="s">
        <v>78</v>
      </c>
      <c r="E804" t="s">
        <v>97</v>
      </c>
      <c r="F804">
        <v>4</v>
      </c>
      <c r="G804" s="3">
        <v>0.2</v>
      </c>
      <c r="H804" t="s">
        <v>14</v>
      </c>
      <c r="I804" t="s">
        <v>48</v>
      </c>
      <c r="J804" t="s">
        <v>21</v>
      </c>
    </row>
    <row r="805" spans="1:10" x14ac:dyDescent="0.45">
      <c r="A805" t="s">
        <v>1287</v>
      </c>
      <c r="B805" s="2">
        <v>46173</v>
      </c>
      <c r="C805" t="s">
        <v>659</v>
      </c>
      <c r="D805" t="s">
        <v>151</v>
      </c>
      <c r="E805" t="s">
        <v>140</v>
      </c>
      <c r="F805">
        <v>3</v>
      </c>
      <c r="G805" s="3">
        <v>0.03</v>
      </c>
      <c r="H805" t="s">
        <v>53</v>
      </c>
      <c r="I805" t="s">
        <v>48</v>
      </c>
      <c r="J805" t="s">
        <v>21</v>
      </c>
    </row>
    <row r="806" spans="1:10" x14ac:dyDescent="0.45">
      <c r="A806" t="s">
        <v>1288</v>
      </c>
      <c r="B806" s="2">
        <v>46160</v>
      </c>
      <c r="C806" t="s">
        <v>346</v>
      </c>
      <c r="D806" t="s">
        <v>148</v>
      </c>
      <c r="E806" t="s">
        <v>85</v>
      </c>
      <c r="F806">
        <v>12</v>
      </c>
      <c r="G806" s="3">
        <v>0.1</v>
      </c>
      <c r="H806" t="s">
        <v>26</v>
      </c>
      <c r="I806" t="s">
        <v>27</v>
      </c>
      <c r="J806" t="s">
        <v>21</v>
      </c>
    </row>
    <row r="807" spans="1:10" x14ac:dyDescent="0.45">
      <c r="A807" t="s">
        <v>1289</v>
      </c>
      <c r="B807" s="2">
        <v>45671</v>
      </c>
      <c r="C807" t="s">
        <v>172</v>
      </c>
      <c r="D807" t="s">
        <v>202</v>
      </c>
      <c r="E807" t="s">
        <v>85</v>
      </c>
      <c r="F807">
        <v>6</v>
      </c>
      <c r="G807" s="3">
        <v>0.08</v>
      </c>
      <c r="H807" t="s">
        <v>53</v>
      </c>
      <c r="I807" t="s">
        <v>15</v>
      </c>
      <c r="J807" t="s">
        <v>21</v>
      </c>
    </row>
    <row r="808" spans="1:10" x14ac:dyDescent="0.45">
      <c r="A808" t="s">
        <v>1290</v>
      </c>
      <c r="B808" s="2">
        <v>45679</v>
      </c>
      <c r="C808" t="s">
        <v>777</v>
      </c>
      <c r="D808" t="s">
        <v>126</v>
      </c>
      <c r="E808" t="s">
        <v>111</v>
      </c>
      <c r="F808">
        <v>3</v>
      </c>
      <c r="G808" s="3">
        <v>0.15</v>
      </c>
      <c r="H808" t="s">
        <v>53</v>
      </c>
      <c r="I808" t="s">
        <v>54</v>
      </c>
      <c r="J808" t="s">
        <v>21</v>
      </c>
    </row>
    <row r="809" spans="1:10" x14ac:dyDescent="0.45">
      <c r="A809" t="s">
        <v>1291</v>
      </c>
      <c r="B809" s="2">
        <v>46099</v>
      </c>
      <c r="C809" t="s">
        <v>974</v>
      </c>
      <c r="D809" t="s">
        <v>410</v>
      </c>
      <c r="E809" t="s">
        <v>197</v>
      </c>
      <c r="F809">
        <v>6</v>
      </c>
      <c r="G809" s="3">
        <v>0.05</v>
      </c>
      <c r="H809" t="s">
        <v>53</v>
      </c>
      <c r="I809" t="s">
        <v>54</v>
      </c>
      <c r="J809" t="s">
        <v>36</v>
      </c>
    </row>
    <row r="810" spans="1:10" x14ac:dyDescent="0.45">
      <c r="A810" t="s">
        <v>1292</v>
      </c>
      <c r="B810" s="2">
        <v>46118</v>
      </c>
      <c r="C810" t="s">
        <v>1293</v>
      </c>
      <c r="D810" t="s">
        <v>12</v>
      </c>
      <c r="E810" t="s">
        <v>152</v>
      </c>
      <c r="F810">
        <v>9</v>
      </c>
      <c r="G810" s="3">
        <v>0.03</v>
      </c>
      <c r="H810" t="s">
        <v>14</v>
      </c>
      <c r="I810" t="s">
        <v>27</v>
      </c>
      <c r="J810" t="s">
        <v>36</v>
      </c>
    </row>
    <row r="811" spans="1:10" x14ac:dyDescent="0.45">
      <c r="A811" t="s">
        <v>1294</v>
      </c>
      <c r="B811" s="2">
        <v>45940</v>
      </c>
      <c r="C811" t="s">
        <v>508</v>
      </c>
      <c r="D811" t="s">
        <v>191</v>
      </c>
      <c r="E811" t="s">
        <v>13</v>
      </c>
      <c r="F811">
        <v>5</v>
      </c>
      <c r="G811" s="3">
        <v>0.05</v>
      </c>
      <c r="H811" t="s">
        <v>14</v>
      </c>
      <c r="I811" t="s">
        <v>27</v>
      </c>
      <c r="J811" t="s">
        <v>16</v>
      </c>
    </row>
    <row r="812" spans="1:10" x14ac:dyDescent="0.45">
      <c r="A812" t="s">
        <v>1295</v>
      </c>
      <c r="B812" s="2">
        <v>46013</v>
      </c>
      <c r="C812" t="s">
        <v>761</v>
      </c>
      <c r="D812" t="s">
        <v>235</v>
      </c>
      <c r="E812" t="s">
        <v>85</v>
      </c>
      <c r="F812">
        <v>5</v>
      </c>
      <c r="G812" s="3">
        <v>0</v>
      </c>
      <c r="H812" t="s">
        <v>26</v>
      </c>
      <c r="I812" t="s">
        <v>15</v>
      </c>
      <c r="J812" t="s">
        <v>36</v>
      </c>
    </row>
    <row r="813" spans="1:10" x14ac:dyDescent="0.45">
      <c r="A813" t="s">
        <v>1296</v>
      </c>
      <c r="B813" s="2">
        <v>45811</v>
      </c>
      <c r="C813" t="s">
        <v>220</v>
      </c>
      <c r="D813" t="s">
        <v>449</v>
      </c>
      <c r="E813" t="s">
        <v>20</v>
      </c>
      <c r="F813">
        <v>9</v>
      </c>
      <c r="G813" s="3">
        <v>0.08</v>
      </c>
      <c r="H813" t="s">
        <v>53</v>
      </c>
      <c r="I813" t="s">
        <v>54</v>
      </c>
      <c r="J813" t="s">
        <v>21</v>
      </c>
    </row>
    <row r="814" spans="1:10" x14ac:dyDescent="0.45">
      <c r="A814" t="s">
        <v>1297</v>
      </c>
      <c r="B814" s="2">
        <v>45673</v>
      </c>
      <c r="C814" t="s">
        <v>1282</v>
      </c>
      <c r="D814" t="s">
        <v>277</v>
      </c>
      <c r="E814" t="s">
        <v>101</v>
      </c>
      <c r="F814">
        <v>8</v>
      </c>
      <c r="G814" s="3">
        <v>0</v>
      </c>
      <c r="H814" t="s">
        <v>14</v>
      </c>
      <c r="I814" t="s">
        <v>48</v>
      </c>
      <c r="J814" t="s">
        <v>21</v>
      </c>
    </row>
    <row r="815" spans="1:10" x14ac:dyDescent="0.45">
      <c r="A815" t="s">
        <v>1298</v>
      </c>
      <c r="B815" s="2">
        <v>46018</v>
      </c>
      <c r="C815" t="s">
        <v>651</v>
      </c>
      <c r="D815" t="s">
        <v>256</v>
      </c>
      <c r="E815" t="s">
        <v>13</v>
      </c>
      <c r="F815">
        <v>11</v>
      </c>
      <c r="G815" s="3">
        <v>0</v>
      </c>
      <c r="H815" t="s">
        <v>14</v>
      </c>
      <c r="I815" t="s">
        <v>54</v>
      </c>
      <c r="J815" t="s">
        <v>21</v>
      </c>
    </row>
    <row r="816" spans="1:10" x14ac:dyDescent="0.45">
      <c r="A816" t="s">
        <v>1299</v>
      </c>
      <c r="B816" s="2">
        <v>45816</v>
      </c>
      <c r="C816" t="s">
        <v>653</v>
      </c>
      <c r="D816" t="s">
        <v>233</v>
      </c>
      <c r="E816" t="s">
        <v>20</v>
      </c>
      <c r="F816">
        <v>2</v>
      </c>
      <c r="G816" s="3">
        <v>0.08</v>
      </c>
      <c r="H816" t="s">
        <v>14</v>
      </c>
      <c r="I816" t="s">
        <v>54</v>
      </c>
      <c r="J816" t="s">
        <v>21</v>
      </c>
    </row>
    <row r="817" spans="1:10" x14ac:dyDescent="0.45">
      <c r="A817" t="s">
        <v>1300</v>
      </c>
      <c r="B817" s="2">
        <v>45690</v>
      </c>
      <c r="C817" t="s">
        <v>599</v>
      </c>
      <c r="D817" t="s">
        <v>65</v>
      </c>
      <c r="E817" t="s">
        <v>218</v>
      </c>
      <c r="F817">
        <v>8</v>
      </c>
      <c r="G817" s="3">
        <v>0.1</v>
      </c>
      <c r="H817" t="s">
        <v>14</v>
      </c>
      <c r="I817" t="s">
        <v>15</v>
      </c>
      <c r="J817" t="s">
        <v>21</v>
      </c>
    </row>
    <row r="818" spans="1:10" x14ac:dyDescent="0.45">
      <c r="A818" t="s">
        <v>1301</v>
      </c>
      <c r="B818" s="2">
        <v>45976</v>
      </c>
      <c r="C818" t="s">
        <v>855</v>
      </c>
      <c r="D818" t="s">
        <v>24</v>
      </c>
      <c r="E818" t="s">
        <v>101</v>
      </c>
      <c r="F818">
        <v>3</v>
      </c>
      <c r="G818" s="3">
        <v>0.15</v>
      </c>
      <c r="H818" t="s">
        <v>53</v>
      </c>
      <c r="I818" t="s">
        <v>27</v>
      </c>
      <c r="J818" t="s">
        <v>16</v>
      </c>
    </row>
    <row r="819" spans="1:10" x14ac:dyDescent="0.45">
      <c r="A819" t="s">
        <v>1302</v>
      </c>
      <c r="B819" s="2">
        <v>45796</v>
      </c>
      <c r="C819" t="s">
        <v>903</v>
      </c>
      <c r="D819" t="s">
        <v>430</v>
      </c>
      <c r="E819" t="s">
        <v>152</v>
      </c>
      <c r="F819">
        <v>7</v>
      </c>
      <c r="G819" s="3">
        <v>0.05</v>
      </c>
      <c r="H819" t="s">
        <v>14</v>
      </c>
      <c r="I819" t="s">
        <v>48</v>
      </c>
      <c r="J819" t="s">
        <v>21</v>
      </c>
    </row>
    <row r="820" spans="1:10" x14ac:dyDescent="0.45">
      <c r="A820" t="s">
        <v>1303</v>
      </c>
      <c r="B820" s="2">
        <v>45845</v>
      </c>
      <c r="C820" t="s">
        <v>682</v>
      </c>
      <c r="D820" t="s">
        <v>449</v>
      </c>
      <c r="E820" t="s">
        <v>52</v>
      </c>
      <c r="F820">
        <v>7</v>
      </c>
      <c r="G820" s="3">
        <v>0.15</v>
      </c>
      <c r="H820" t="s">
        <v>14</v>
      </c>
      <c r="I820" t="s">
        <v>15</v>
      </c>
      <c r="J820" t="s">
        <v>59</v>
      </c>
    </row>
    <row r="821" spans="1:10" x14ac:dyDescent="0.45">
      <c r="A821" t="s">
        <v>1304</v>
      </c>
      <c r="B821" s="2">
        <v>46020</v>
      </c>
      <c r="C821" t="s">
        <v>193</v>
      </c>
      <c r="D821" t="s">
        <v>158</v>
      </c>
      <c r="E821" t="s">
        <v>85</v>
      </c>
      <c r="F821">
        <v>7</v>
      </c>
      <c r="G821" s="3">
        <v>0.2</v>
      </c>
      <c r="H821" t="s">
        <v>14</v>
      </c>
      <c r="I821" t="s">
        <v>15</v>
      </c>
      <c r="J821" t="s">
        <v>21</v>
      </c>
    </row>
    <row r="822" spans="1:10" x14ac:dyDescent="0.45">
      <c r="A822" t="s">
        <v>1305</v>
      </c>
      <c r="B822" s="2">
        <v>46089</v>
      </c>
      <c r="C822" t="s">
        <v>878</v>
      </c>
      <c r="D822" t="s">
        <v>19</v>
      </c>
      <c r="E822" t="s">
        <v>40</v>
      </c>
      <c r="F822">
        <v>2</v>
      </c>
      <c r="G822" s="3">
        <v>0.03</v>
      </c>
      <c r="H822" t="s">
        <v>53</v>
      </c>
      <c r="I822" t="s">
        <v>27</v>
      </c>
      <c r="J822" t="s">
        <v>16</v>
      </c>
    </row>
    <row r="823" spans="1:10" x14ac:dyDescent="0.45">
      <c r="A823" t="s">
        <v>1306</v>
      </c>
      <c r="B823" s="2">
        <v>45788</v>
      </c>
      <c r="C823" t="s">
        <v>597</v>
      </c>
      <c r="D823" t="s">
        <v>118</v>
      </c>
      <c r="E823" t="s">
        <v>58</v>
      </c>
      <c r="F823">
        <v>10</v>
      </c>
      <c r="G823" s="3">
        <v>0.08</v>
      </c>
      <c r="H823" t="s">
        <v>14</v>
      </c>
      <c r="I823" t="s">
        <v>15</v>
      </c>
      <c r="J823" t="s">
        <v>21</v>
      </c>
    </row>
    <row r="824" spans="1:10" x14ac:dyDescent="0.45">
      <c r="A824" t="s">
        <v>1307</v>
      </c>
      <c r="B824" s="2">
        <v>46188</v>
      </c>
      <c r="C824" t="s">
        <v>510</v>
      </c>
      <c r="D824" t="s">
        <v>256</v>
      </c>
      <c r="E824" t="s">
        <v>85</v>
      </c>
      <c r="F824">
        <v>8</v>
      </c>
      <c r="G824" s="3">
        <v>0</v>
      </c>
      <c r="H824" t="s">
        <v>14</v>
      </c>
      <c r="I824" t="s">
        <v>27</v>
      </c>
      <c r="J824" t="s">
        <v>16</v>
      </c>
    </row>
    <row r="825" spans="1:10" x14ac:dyDescent="0.45">
      <c r="A825" t="s">
        <v>1308</v>
      </c>
      <c r="B825" s="2">
        <v>45757</v>
      </c>
      <c r="C825" t="s">
        <v>1309</v>
      </c>
      <c r="D825" t="s">
        <v>12</v>
      </c>
      <c r="E825" t="s">
        <v>281</v>
      </c>
      <c r="F825">
        <v>5</v>
      </c>
      <c r="G825" s="3">
        <v>0.2</v>
      </c>
      <c r="H825" t="s">
        <v>53</v>
      </c>
      <c r="I825" t="s">
        <v>48</v>
      </c>
      <c r="J825" t="s">
        <v>21</v>
      </c>
    </row>
    <row r="826" spans="1:10" x14ac:dyDescent="0.45">
      <c r="A826" t="s">
        <v>1310</v>
      </c>
      <c r="B826" s="2">
        <v>45712</v>
      </c>
      <c r="C826" t="s">
        <v>120</v>
      </c>
      <c r="D826" t="s">
        <v>118</v>
      </c>
      <c r="E826" t="s">
        <v>111</v>
      </c>
      <c r="F826">
        <v>12</v>
      </c>
      <c r="G826" s="3">
        <v>0.05</v>
      </c>
      <c r="H826" t="s">
        <v>14</v>
      </c>
      <c r="I826" t="s">
        <v>15</v>
      </c>
      <c r="J826" t="s">
        <v>21</v>
      </c>
    </row>
    <row r="827" spans="1:10" x14ac:dyDescent="0.45">
      <c r="A827" t="s">
        <v>1311</v>
      </c>
      <c r="B827" s="2">
        <v>45976</v>
      </c>
      <c r="C827" t="s">
        <v>716</v>
      </c>
      <c r="D827" t="s">
        <v>246</v>
      </c>
      <c r="E827" t="s">
        <v>101</v>
      </c>
      <c r="F827">
        <v>12</v>
      </c>
      <c r="G827" s="3">
        <v>0</v>
      </c>
      <c r="H827" t="s">
        <v>53</v>
      </c>
      <c r="I827" t="s">
        <v>54</v>
      </c>
      <c r="J827" t="s">
        <v>21</v>
      </c>
    </row>
    <row r="828" spans="1:10" x14ac:dyDescent="0.45">
      <c r="A828" t="s">
        <v>1312</v>
      </c>
      <c r="B828" s="2">
        <v>45781</v>
      </c>
      <c r="C828" t="s">
        <v>1147</v>
      </c>
      <c r="D828" t="s">
        <v>246</v>
      </c>
      <c r="E828" t="s">
        <v>82</v>
      </c>
      <c r="F828">
        <v>9</v>
      </c>
      <c r="G828" s="3">
        <v>0</v>
      </c>
      <c r="H828" t="s">
        <v>14</v>
      </c>
      <c r="I828" t="s">
        <v>48</v>
      </c>
      <c r="J828" t="s">
        <v>21</v>
      </c>
    </row>
    <row r="829" spans="1:10" x14ac:dyDescent="0.45">
      <c r="A829" t="s">
        <v>1313</v>
      </c>
      <c r="B829" s="2">
        <v>45714</v>
      </c>
      <c r="C829" t="s">
        <v>229</v>
      </c>
      <c r="D829" t="s">
        <v>500</v>
      </c>
      <c r="E829" t="s">
        <v>136</v>
      </c>
      <c r="F829">
        <v>2</v>
      </c>
      <c r="G829" s="3">
        <v>0.08</v>
      </c>
      <c r="H829" t="s">
        <v>14</v>
      </c>
      <c r="I829" t="s">
        <v>54</v>
      </c>
      <c r="J829" t="s">
        <v>16</v>
      </c>
    </row>
    <row r="830" spans="1:10" x14ac:dyDescent="0.45">
      <c r="A830" t="s">
        <v>1314</v>
      </c>
      <c r="B830" s="2">
        <v>46107</v>
      </c>
      <c r="C830" t="s">
        <v>113</v>
      </c>
      <c r="D830" t="s">
        <v>24</v>
      </c>
      <c r="E830" t="s">
        <v>82</v>
      </c>
      <c r="F830">
        <v>11</v>
      </c>
      <c r="G830" s="3">
        <v>0</v>
      </c>
      <c r="H830" t="s">
        <v>14</v>
      </c>
      <c r="I830" t="s">
        <v>48</v>
      </c>
      <c r="J830" t="s">
        <v>21</v>
      </c>
    </row>
    <row r="831" spans="1:10" x14ac:dyDescent="0.45">
      <c r="A831" t="s">
        <v>1315</v>
      </c>
      <c r="B831" s="2">
        <v>46181</v>
      </c>
      <c r="C831" t="s">
        <v>260</v>
      </c>
      <c r="D831" t="s">
        <v>283</v>
      </c>
      <c r="E831" t="s">
        <v>144</v>
      </c>
      <c r="F831">
        <v>12</v>
      </c>
      <c r="G831" s="3">
        <v>0.05</v>
      </c>
      <c r="H831" t="s">
        <v>14</v>
      </c>
      <c r="I831" t="s">
        <v>27</v>
      </c>
      <c r="J831" t="s">
        <v>21</v>
      </c>
    </row>
    <row r="832" spans="1:10" x14ac:dyDescent="0.45">
      <c r="A832" t="s">
        <v>1316</v>
      </c>
      <c r="B832" s="2">
        <v>46034</v>
      </c>
      <c r="C832" t="s">
        <v>1317</v>
      </c>
      <c r="D832" t="s">
        <v>191</v>
      </c>
      <c r="E832" t="s">
        <v>47</v>
      </c>
      <c r="F832">
        <v>11</v>
      </c>
      <c r="G832" s="3">
        <v>0.08</v>
      </c>
      <c r="H832" t="s">
        <v>14</v>
      </c>
      <c r="I832" t="s">
        <v>48</v>
      </c>
      <c r="J832" t="s">
        <v>21</v>
      </c>
    </row>
    <row r="833" spans="1:10" x14ac:dyDescent="0.45">
      <c r="A833" t="s">
        <v>1318</v>
      </c>
      <c r="B833" s="2">
        <v>45686</v>
      </c>
      <c r="C833" t="s">
        <v>1319</v>
      </c>
      <c r="D833" t="s">
        <v>295</v>
      </c>
      <c r="E833" t="s">
        <v>225</v>
      </c>
      <c r="F833">
        <v>5</v>
      </c>
      <c r="G833" s="3">
        <v>0.2</v>
      </c>
      <c r="H833" t="s">
        <v>14</v>
      </c>
      <c r="I833" t="s">
        <v>15</v>
      </c>
      <c r="J833" t="s">
        <v>21</v>
      </c>
    </row>
    <row r="834" spans="1:10" x14ac:dyDescent="0.45">
      <c r="A834" t="s">
        <v>1320</v>
      </c>
      <c r="B834" s="2">
        <v>46113</v>
      </c>
      <c r="C834" t="s">
        <v>980</v>
      </c>
      <c r="D834" t="s">
        <v>51</v>
      </c>
      <c r="E834" t="s">
        <v>25</v>
      </c>
      <c r="F834">
        <v>1</v>
      </c>
      <c r="G834" s="3">
        <v>0.1</v>
      </c>
      <c r="H834" t="s">
        <v>26</v>
      </c>
      <c r="I834" t="s">
        <v>15</v>
      </c>
      <c r="J834" t="s">
        <v>36</v>
      </c>
    </row>
    <row r="835" spans="1:10" x14ac:dyDescent="0.45">
      <c r="A835" t="s">
        <v>1321</v>
      </c>
      <c r="B835" s="2">
        <v>45820</v>
      </c>
      <c r="C835" t="s">
        <v>620</v>
      </c>
      <c r="D835" t="s">
        <v>205</v>
      </c>
      <c r="E835" t="s">
        <v>97</v>
      </c>
      <c r="F835">
        <v>6</v>
      </c>
      <c r="G835" s="3">
        <v>0.05</v>
      </c>
      <c r="H835" t="s">
        <v>14</v>
      </c>
      <c r="I835" t="s">
        <v>15</v>
      </c>
      <c r="J835" t="s">
        <v>21</v>
      </c>
    </row>
    <row r="836" spans="1:10" x14ac:dyDescent="0.45">
      <c r="A836" t="s">
        <v>1322</v>
      </c>
      <c r="B836" s="2">
        <v>46005</v>
      </c>
      <c r="C836" t="s">
        <v>763</v>
      </c>
      <c r="D836" t="s">
        <v>246</v>
      </c>
      <c r="E836" t="s">
        <v>58</v>
      </c>
      <c r="F836">
        <v>8</v>
      </c>
      <c r="G836" s="3">
        <v>0.03</v>
      </c>
      <c r="H836" t="s">
        <v>14</v>
      </c>
      <c r="I836" t="s">
        <v>27</v>
      </c>
      <c r="J836" t="s">
        <v>36</v>
      </c>
    </row>
    <row r="837" spans="1:10" x14ac:dyDescent="0.45">
      <c r="A837" t="s">
        <v>1323</v>
      </c>
      <c r="B837" s="2">
        <v>46141</v>
      </c>
      <c r="C837" t="s">
        <v>993</v>
      </c>
      <c r="D837" t="s">
        <v>238</v>
      </c>
      <c r="E837" t="s">
        <v>136</v>
      </c>
      <c r="F837">
        <v>10</v>
      </c>
      <c r="G837" s="3">
        <v>0.03</v>
      </c>
      <c r="H837" t="s">
        <v>14</v>
      </c>
      <c r="I837" t="s">
        <v>27</v>
      </c>
      <c r="J837" t="s">
        <v>21</v>
      </c>
    </row>
    <row r="838" spans="1:10" x14ac:dyDescent="0.45">
      <c r="A838" t="s">
        <v>1324</v>
      </c>
      <c r="B838" s="2">
        <v>46014</v>
      </c>
      <c r="C838" t="s">
        <v>451</v>
      </c>
      <c r="D838" t="s">
        <v>191</v>
      </c>
      <c r="E838" t="s">
        <v>197</v>
      </c>
      <c r="F838">
        <v>10</v>
      </c>
      <c r="G838" s="3">
        <v>0.15</v>
      </c>
      <c r="H838" t="s">
        <v>14</v>
      </c>
      <c r="I838" t="s">
        <v>48</v>
      </c>
      <c r="J838" t="s">
        <v>36</v>
      </c>
    </row>
    <row r="839" spans="1:10" x14ac:dyDescent="0.45">
      <c r="A839" t="s">
        <v>1325</v>
      </c>
      <c r="B839" s="2">
        <v>45766</v>
      </c>
      <c r="C839" t="s">
        <v>11</v>
      </c>
      <c r="D839" t="s">
        <v>151</v>
      </c>
      <c r="E839" t="s">
        <v>31</v>
      </c>
      <c r="F839">
        <v>8</v>
      </c>
      <c r="G839" s="3">
        <v>0.2</v>
      </c>
      <c r="H839" t="s">
        <v>14</v>
      </c>
      <c r="I839" t="s">
        <v>54</v>
      </c>
      <c r="J839" t="s">
        <v>107</v>
      </c>
    </row>
    <row r="840" spans="1:10" x14ac:dyDescent="0.45">
      <c r="A840" t="s">
        <v>1326</v>
      </c>
      <c r="B840" s="2">
        <v>45836</v>
      </c>
      <c r="C840" t="s">
        <v>921</v>
      </c>
      <c r="D840" t="s">
        <v>283</v>
      </c>
      <c r="E840" t="s">
        <v>31</v>
      </c>
      <c r="F840">
        <v>12</v>
      </c>
      <c r="G840" s="3">
        <v>0.15</v>
      </c>
      <c r="H840" t="s">
        <v>53</v>
      </c>
      <c r="I840" t="s">
        <v>15</v>
      </c>
      <c r="J840" t="s">
        <v>36</v>
      </c>
    </row>
    <row r="841" spans="1:10" x14ac:dyDescent="0.45">
      <c r="A841" t="s">
        <v>1327</v>
      </c>
      <c r="B841" s="2">
        <v>45775</v>
      </c>
      <c r="C841" t="s">
        <v>571</v>
      </c>
      <c r="D841" t="s">
        <v>34</v>
      </c>
      <c r="E841" t="s">
        <v>152</v>
      </c>
      <c r="F841">
        <v>1</v>
      </c>
      <c r="G841" s="3">
        <v>0</v>
      </c>
      <c r="H841" t="s">
        <v>14</v>
      </c>
      <c r="I841" t="s">
        <v>27</v>
      </c>
      <c r="J841" t="s">
        <v>21</v>
      </c>
    </row>
    <row r="842" spans="1:10" x14ac:dyDescent="0.45">
      <c r="A842" t="s">
        <v>1328</v>
      </c>
      <c r="B842" s="2">
        <v>45768</v>
      </c>
      <c r="C842" t="s">
        <v>974</v>
      </c>
      <c r="D842" t="s">
        <v>185</v>
      </c>
      <c r="E842" t="s">
        <v>281</v>
      </c>
      <c r="F842">
        <v>12</v>
      </c>
      <c r="G842" s="3">
        <v>0.2</v>
      </c>
      <c r="H842" t="s">
        <v>14</v>
      </c>
      <c r="I842" t="s">
        <v>54</v>
      </c>
      <c r="J842" t="s">
        <v>21</v>
      </c>
    </row>
    <row r="843" spans="1:10" x14ac:dyDescent="0.45">
      <c r="A843" t="s">
        <v>1329</v>
      </c>
      <c r="B843" s="2">
        <v>45950</v>
      </c>
      <c r="C843" t="s">
        <v>330</v>
      </c>
      <c r="D843" t="s">
        <v>500</v>
      </c>
      <c r="E843" t="s">
        <v>20</v>
      </c>
      <c r="F843">
        <v>4</v>
      </c>
      <c r="G843" s="3">
        <v>0.05</v>
      </c>
      <c r="H843" t="s">
        <v>53</v>
      </c>
      <c r="I843" t="s">
        <v>15</v>
      </c>
      <c r="J843" t="s">
        <v>16</v>
      </c>
    </row>
    <row r="844" spans="1:10" x14ac:dyDescent="0.45">
      <c r="A844" t="s">
        <v>1330</v>
      </c>
      <c r="B844" s="2">
        <v>45682</v>
      </c>
      <c r="C844" t="s">
        <v>989</v>
      </c>
      <c r="D844" t="s">
        <v>71</v>
      </c>
      <c r="E844" t="s">
        <v>127</v>
      </c>
      <c r="F844">
        <v>11</v>
      </c>
      <c r="G844" s="3">
        <v>0</v>
      </c>
      <c r="H844" t="s">
        <v>14</v>
      </c>
      <c r="I844" t="s">
        <v>54</v>
      </c>
      <c r="J844" t="s">
        <v>36</v>
      </c>
    </row>
    <row r="845" spans="1:10" x14ac:dyDescent="0.45">
      <c r="A845" t="s">
        <v>1331</v>
      </c>
      <c r="B845" s="2">
        <v>45731</v>
      </c>
      <c r="C845" t="s">
        <v>181</v>
      </c>
      <c r="D845" t="s">
        <v>68</v>
      </c>
      <c r="E845" t="s">
        <v>197</v>
      </c>
      <c r="F845">
        <v>6</v>
      </c>
      <c r="G845" s="3">
        <v>0.03</v>
      </c>
      <c r="H845" t="s">
        <v>53</v>
      </c>
      <c r="I845" t="s">
        <v>15</v>
      </c>
      <c r="J845" t="s">
        <v>21</v>
      </c>
    </row>
    <row r="846" spans="1:10" x14ac:dyDescent="0.45">
      <c r="A846" t="s">
        <v>1332</v>
      </c>
      <c r="B846" s="2">
        <v>46170</v>
      </c>
      <c r="C846" t="s">
        <v>1333</v>
      </c>
      <c r="D846" t="s">
        <v>94</v>
      </c>
      <c r="E846" t="s">
        <v>47</v>
      </c>
      <c r="F846">
        <v>6</v>
      </c>
      <c r="G846" s="3">
        <v>0.1</v>
      </c>
      <c r="H846" t="s">
        <v>53</v>
      </c>
      <c r="I846" t="s">
        <v>54</v>
      </c>
      <c r="J846" t="s">
        <v>16</v>
      </c>
    </row>
    <row r="847" spans="1:10" x14ac:dyDescent="0.45">
      <c r="A847" t="s">
        <v>1334</v>
      </c>
      <c r="B847" s="2">
        <v>46043</v>
      </c>
      <c r="C847" t="s">
        <v>160</v>
      </c>
      <c r="D847" t="s">
        <v>295</v>
      </c>
      <c r="E847" t="s">
        <v>25</v>
      </c>
      <c r="F847">
        <v>2</v>
      </c>
      <c r="G847" s="3">
        <v>0</v>
      </c>
      <c r="H847" t="s">
        <v>14</v>
      </c>
      <c r="I847" t="s">
        <v>27</v>
      </c>
      <c r="J847" t="s">
        <v>21</v>
      </c>
    </row>
    <row r="848" spans="1:10" x14ac:dyDescent="0.45">
      <c r="A848" t="s">
        <v>1335</v>
      </c>
      <c r="B848" s="2">
        <v>45996</v>
      </c>
      <c r="C848" t="s">
        <v>294</v>
      </c>
      <c r="D848" t="s">
        <v>151</v>
      </c>
      <c r="E848" t="s">
        <v>35</v>
      </c>
      <c r="F848">
        <v>1</v>
      </c>
      <c r="G848" s="3">
        <v>0.05</v>
      </c>
      <c r="H848" t="s">
        <v>53</v>
      </c>
      <c r="I848" t="s">
        <v>27</v>
      </c>
      <c r="J848" t="s">
        <v>36</v>
      </c>
    </row>
    <row r="849" spans="1:10" x14ac:dyDescent="0.45">
      <c r="A849" t="s">
        <v>1336</v>
      </c>
      <c r="B849" s="2">
        <v>46024</v>
      </c>
      <c r="C849" t="s">
        <v>997</v>
      </c>
      <c r="D849" t="s">
        <v>456</v>
      </c>
      <c r="E849" t="s">
        <v>72</v>
      </c>
      <c r="F849">
        <v>2</v>
      </c>
      <c r="G849" s="3">
        <v>0.03</v>
      </c>
      <c r="H849" t="s">
        <v>26</v>
      </c>
      <c r="I849" t="s">
        <v>48</v>
      </c>
      <c r="J849" t="s">
        <v>21</v>
      </c>
    </row>
    <row r="850" spans="1:10" x14ac:dyDescent="0.45">
      <c r="A850" t="s">
        <v>1337</v>
      </c>
      <c r="B850" s="2">
        <v>46170</v>
      </c>
      <c r="C850" t="s">
        <v>628</v>
      </c>
      <c r="D850" t="s">
        <v>126</v>
      </c>
      <c r="E850" t="s">
        <v>82</v>
      </c>
      <c r="F850">
        <v>5</v>
      </c>
      <c r="G850" s="3">
        <v>0.15</v>
      </c>
      <c r="H850" t="s">
        <v>53</v>
      </c>
      <c r="I850" t="s">
        <v>48</v>
      </c>
      <c r="J850" t="s">
        <v>21</v>
      </c>
    </row>
    <row r="851" spans="1:10" x14ac:dyDescent="0.45">
      <c r="A851" t="s">
        <v>1338</v>
      </c>
      <c r="B851" s="2">
        <v>46004</v>
      </c>
      <c r="C851" t="s">
        <v>790</v>
      </c>
      <c r="D851" t="s">
        <v>19</v>
      </c>
      <c r="E851" t="s">
        <v>35</v>
      </c>
      <c r="F851">
        <v>7</v>
      </c>
      <c r="G851" s="3">
        <v>0.08</v>
      </c>
      <c r="H851" t="s">
        <v>14</v>
      </c>
      <c r="I851" t="s">
        <v>48</v>
      </c>
      <c r="J851" t="s">
        <v>21</v>
      </c>
    </row>
    <row r="852" spans="1:10" x14ac:dyDescent="0.45">
      <c r="A852" t="s">
        <v>1339</v>
      </c>
      <c r="B852" s="2">
        <v>45721</v>
      </c>
      <c r="C852" t="s">
        <v>87</v>
      </c>
      <c r="D852" t="s">
        <v>148</v>
      </c>
      <c r="E852" t="s">
        <v>40</v>
      </c>
      <c r="F852">
        <v>4</v>
      </c>
      <c r="G852" s="3">
        <v>0.2</v>
      </c>
      <c r="H852" t="s">
        <v>14</v>
      </c>
      <c r="I852" t="s">
        <v>48</v>
      </c>
      <c r="J852" t="s">
        <v>21</v>
      </c>
    </row>
    <row r="853" spans="1:10" x14ac:dyDescent="0.45">
      <c r="A853" t="s">
        <v>1340</v>
      </c>
      <c r="B853" s="2">
        <v>45740</v>
      </c>
      <c r="C853" t="s">
        <v>967</v>
      </c>
      <c r="D853" t="s">
        <v>230</v>
      </c>
      <c r="E853" t="s">
        <v>82</v>
      </c>
      <c r="F853">
        <v>9</v>
      </c>
      <c r="G853" s="3">
        <v>0.2</v>
      </c>
      <c r="H853" t="s">
        <v>26</v>
      </c>
      <c r="I853" t="s">
        <v>27</v>
      </c>
      <c r="J853" t="s">
        <v>59</v>
      </c>
    </row>
    <row r="854" spans="1:10" x14ac:dyDescent="0.45">
      <c r="A854" t="s">
        <v>1341</v>
      </c>
      <c r="B854" s="2">
        <v>46177</v>
      </c>
      <c r="C854" t="s">
        <v>1207</v>
      </c>
      <c r="D854" t="s">
        <v>51</v>
      </c>
      <c r="E854" t="s">
        <v>47</v>
      </c>
      <c r="F854">
        <v>4</v>
      </c>
      <c r="G854" s="3">
        <v>0.1</v>
      </c>
      <c r="H854" t="s">
        <v>14</v>
      </c>
      <c r="I854" t="s">
        <v>27</v>
      </c>
      <c r="J854" t="s">
        <v>16</v>
      </c>
    </row>
    <row r="855" spans="1:10" x14ac:dyDescent="0.45">
      <c r="A855" t="s">
        <v>1342</v>
      </c>
      <c r="B855" s="2">
        <v>45684</v>
      </c>
      <c r="C855" t="s">
        <v>1343</v>
      </c>
      <c r="D855" t="s">
        <v>217</v>
      </c>
      <c r="E855" t="s">
        <v>35</v>
      </c>
      <c r="F855">
        <v>4</v>
      </c>
      <c r="G855" s="3">
        <v>0.15</v>
      </c>
      <c r="H855" t="s">
        <v>53</v>
      </c>
      <c r="I855" t="s">
        <v>48</v>
      </c>
      <c r="J855" t="s">
        <v>21</v>
      </c>
    </row>
    <row r="856" spans="1:10" x14ac:dyDescent="0.45">
      <c r="A856" t="s">
        <v>1344</v>
      </c>
      <c r="B856" s="2">
        <v>46044</v>
      </c>
      <c r="C856" t="s">
        <v>350</v>
      </c>
      <c r="D856" t="s">
        <v>456</v>
      </c>
      <c r="E856" t="s">
        <v>40</v>
      </c>
      <c r="F856">
        <v>12</v>
      </c>
      <c r="G856" s="3">
        <v>0.03</v>
      </c>
      <c r="H856" t="s">
        <v>14</v>
      </c>
      <c r="I856" t="s">
        <v>15</v>
      </c>
      <c r="J856" t="s">
        <v>21</v>
      </c>
    </row>
    <row r="857" spans="1:10" x14ac:dyDescent="0.45">
      <c r="A857" t="s">
        <v>1345</v>
      </c>
      <c r="B857" s="2">
        <v>46034</v>
      </c>
      <c r="C857" t="s">
        <v>486</v>
      </c>
      <c r="D857" t="s">
        <v>500</v>
      </c>
      <c r="E857" t="s">
        <v>31</v>
      </c>
      <c r="F857">
        <v>6</v>
      </c>
      <c r="G857" s="3">
        <v>0.05</v>
      </c>
      <c r="H857" t="s">
        <v>14</v>
      </c>
      <c r="I857" t="s">
        <v>48</v>
      </c>
      <c r="J857" t="s">
        <v>21</v>
      </c>
    </row>
    <row r="858" spans="1:10" x14ac:dyDescent="0.45">
      <c r="A858" t="s">
        <v>1346</v>
      </c>
      <c r="B858" s="2">
        <v>45890</v>
      </c>
      <c r="C858" t="s">
        <v>663</v>
      </c>
      <c r="D858" t="s">
        <v>191</v>
      </c>
      <c r="E858" t="s">
        <v>97</v>
      </c>
      <c r="F858">
        <v>7</v>
      </c>
      <c r="G858" s="3">
        <v>0</v>
      </c>
      <c r="H858" t="s">
        <v>26</v>
      </c>
      <c r="I858" t="s">
        <v>48</v>
      </c>
      <c r="J858" t="s">
        <v>36</v>
      </c>
    </row>
    <row r="859" spans="1:10" x14ac:dyDescent="0.45">
      <c r="A859" t="s">
        <v>1347</v>
      </c>
      <c r="B859" s="2">
        <v>45716</v>
      </c>
      <c r="C859" t="s">
        <v>1348</v>
      </c>
      <c r="D859" t="s">
        <v>221</v>
      </c>
      <c r="E859" t="s">
        <v>127</v>
      </c>
      <c r="F859">
        <v>3</v>
      </c>
      <c r="G859" s="3">
        <v>0.2</v>
      </c>
      <c r="H859" t="s">
        <v>14</v>
      </c>
      <c r="I859" t="s">
        <v>48</v>
      </c>
      <c r="J859" t="s">
        <v>21</v>
      </c>
    </row>
    <row r="860" spans="1:10" x14ac:dyDescent="0.45">
      <c r="A860" t="s">
        <v>1349</v>
      </c>
      <c r="B860" s="2">
        <v>45790</v>
      </c>
      <c r="C860" t="s">
        <v>396</v>
      </c>
      <c r="D860" t="s">
        <v>410</v>
      </c>
      <c r="E860" t="s">
        <v>101</v>
      </c>
      <c r="F860">
        <v>10</v>
      </c>
      <c r="G860" s="3">
        <v>0.15</v>
      </c>
      <c r="H860" t="s">
        <v>14</v>
      </c>
      <c r="I860" t="s">
        <v>48</v>
      </c>
      <c r="J860" t="s">
        <v>21</v>
      </c>
    </row>
    <row r="861" spans="1:10" x14ac:dyDescent="0.45">
      <c r="A861" t="s">
        <v>1350</v>
      </c>
      <c r="B861" s="2">
        <v>45868</v>
      </c>
      <c r="C861" t="s">
        <v>551</v>
      </c>
      <c r="D861" t="s">
        <v>121</v>
      </c>
      <c r="E861" t="s">
        <v>52</v>
      </c>
      <c r="F861">
        <v>8</v>
      </c>
      <c r="G861" s="3">
        <v>0.1</v>
      </c>
      <c r="H861" t="s">
        <v>53</v>
      </c>
      <c r="I861" t="s">
        <v>54</v>
      </c>
      <c r="J861" t="s">
        <v>21</v>
      </c>
    </row>
    <row r="862" spans="1:10" x14ac:dyDescent="0.45">
      <c r="A862" t="s">
        <v>1351</v>
      </c>
      <c r="B862" s="2">
        <v>45957</v>
      </c>
      <c r="C862" t="s">
        <v>677</v>
      </c>
      <c r="D862" t="s">
        <v>202</v>
      </c>
      <c r="E862" t="s">
        <v>40</v>
      </c>
      <c r="F862">
        <v>11</v>
      </c>
      <c r="G862" s="3">
        <v>0.05</v>
      </c>
      <c r="H862" t="s">
        <v>14</v>
      </c>
      <c r="I862" t="s">
        <v>27</v>
      </c>
      <c r="J862" t="s">
        <v>21</v>
      </c>
    </row>
    <row r="863" spans="1:10" x14ac:dyDescent="0.45">
      <c r="A863" t="s">
        <v>1352</v>
      </c>
      <c r="B863" s="2">
        <v>45713</v>
      </c>
      <c r="C863" t="s">
        <v>103</v>
      </c>
      <c r="D863" t="s">
        <v>233</v>
      </c>
      <c r="E863" t="s">
        <v>31</v>
      </c>
      <c r="F863">
        <v>6</v>
      </c>
      <c r="G863" s="3">
        <v>0.15</v>
      </c>
      <c r="H863" t="s">
        <v>53</v>
      </c>
      <c r="I863" t="s">
        <v>15</v>
      </c>
      <c r="J863" t="s">
        <v>21</v>
      </c>
    </row>
    <row r="864" spans="1:10" x14ac:dyDescent="0.45">
      <c r="A864" t="s">
        <v>1353</v>
      </c>
      <c r="B864" s="2">
        <v>45894</v>
      </c>
      <c r="C864" t="s">
        <v>1354</v>
      </c>
      <c r="D864" t="s">
        <v>182</v>
      </c>
      <c r="E864" t="s">
        <v>140</v>
      </c>
      <c r="F864">
        <v>5</v>
      </c>
      <c r="G864" s="3">
        <v>0.05</v>
      </c>
      <c r="H864" t="s">
        <v>14</v>
      </c>
      <c r="I864" t="s">
        <v>54</v>
      </c>
      <c r="J864" t="s">
        <v>21</v>
      </c>
    </row>
    <row r="865" spans="1:10" x14ac:dyDescent="0.45">
      <c r="A865" t="s">
        <v>1355</v>
      </c>
      <c r="B865" s="2">
        <v>46122</v>
      </c>
      <c r="C865" t="s">
        <v>870</v>
      </c>
      <c r="D865" t="s">
        <v>500</v>
      </c>
      <c r="E865" t="s">
        <v>25</v>
      </c>
      <c r="F865">
        <v>2</v>
      </c>
      <c r="G865" s="3">
        <v>0</v>
      </c>
      <c r="H865" t="s">
        <v>14</v>
      </c>
      <c r="I865" t="s">
        <v>48</v>
      </c>
      <c r="J865" t="s">
        <v>21</v>
      </c>
    </row>
    <row r="866" spans="1:10" x14ac:dyDescent="0.45">
      <c r="A866" t="s">
        <v>1356</v>
      </c>
      <c r="B866" s="2">
        <v>45744</v>
      </c>
      <c r="C866" t="s">
        <v>462</v>
      </c>
      <c r="D866" t="s">
        <v>456</v>
      </c>
      <c r="E866" t="s">
        <v>101</v>
      </c>
      <c r="F866">
        <v>1</v>
      </c>
      <c r="G866" s="3">
        <v>0.08</v>
      </c>
      <c r="H866" t="s">
        <v>53</v>
      </c>
      <c r="I866" t="s">
        <v>15</v>
      </c>
      <c r="J866" t="s">
        <v>21</v>
      </c>
    </row>
    <row r="867" spans="1:10" x14ac:dyDescent="0.45">
      <c r="A867" t="s">
        <v>1357</v>
      </c>
      <c r="B867" s="2">
        <v>45703</v>
      </c>
      <c r="C867" t="s">
        <v>930</v>
      </c>
      <c r="D867" t="s">
        <v>456</v>
      </c>
      <c r="E867" t="s">
        <v>85</v>
      </c>
      <c r="F867">
        <v>4</v>
      </c>
      <c r="G867" s="3">
        <v>0.05</v>
      </c>
      <c r="H867" t="s">
        <v>14</v>
      </c>
      <c r="I867" t="s">
        <v>15</v>
      </c>
      <c r="J867" t="s">
        <v>21</v>
      </c>
    </row>
    <row r="868" spans="1:10" x14ac:dyDescent="0.45">
      <c r="A868" t="s">
        <v>1358</v>
      </c>
      <c r="B868" s="2">
        <v>46014</v>
      </c>
      <c r="C868" t="s">
        <v>1359</v>
      </c>
      <c r="D868" t="s">
        <v>320</v>
      </c>
      <c r="E868" t="s">
        <v>35</v>
      </c>
      <c r="F868">
        <v>1</v>
      </c>
      <c r="G868" s="3">
        <v>0.1</v>
      </c>
      <c r="H868" t="s">
        <v>26</v>
      </c>
      <c r="I868" t="s">
        <v>27</v>
      </c>
      <c r="J868" t="s">
        <v>16</v>
      </c>
    </row>
    <row r="869" spans="1:10" x14ac:dyDescent="0.45">
      <c r="A869" t="s">
        <v>1360</v>
      </c>
      <c r="B869" s="2">
        <v>45686</v>
      </c>
      <c r="C869" t="s">
        <v>531</v>
      </c>
      <c r="D869" t="s">
        <v>130</v>
      </c>
      <c r="E869" t="s">
        <v>40</v>
      </c>
      <c r="F869">
        <v>6</v>
      </c>
      <c r="G869" s="3">
        <v>0.15</v>
      </c>
      <c r="H869" t="s">
        <v>53</v>
      </c>
      <c r="I869" t="s">
        <v>48</v>
      </c>
      <c r="J869" t="s">
        <v>16</v>
      </c>
    </row>
    <row r="870" spans="1:10" x14ac:dyDescent="0.45">
      <c r="A870" t="s">
        <v>1361</v>
      </c>
      <c r="B870" s="2">
        <v>45952</v>
      </c>
      <c r="C870" t="s">
        <v>622</v>
      </c>
      <c r="D870" t="s">
        <v>456</v>
      </c>
      <c r="E870" t="s">
        <v>111</v>
      </c>
      <c r="F870">
        <v>9</v>
      </c>
      <c r="G870" s="3">
        <v>0.2</v>
      </c>
      <c r="H870" t="s">
        <v>14</v>
      </c>
      <c r="I870" t="s">
        <v>27</v>
      </c>
      <c r="J870" t="s">
        <v>21</v>
      </c>
    </row>
    <row r="871" spans="1:10" x14ac:dyDescent="0.45">
      <c r="A871" t="s">
        <v>1362</v>
      </c>
      <c r="B871" s="2">
        <v>45901</v>
      </c>
      <c r="C871" t="s">
        <v>930</v>
      </c>
      <c r="D871" t="s">
        <v>449</v>
      </c>
      <c r="E871" t="s">
        <v>111</v>
      </c>
      <c r="F871">
        <v>3</v>
      </c>
      <c r="G871" s="3">
        <v>0</v>
      </c>
      <c r="H871" t="s">
        <v>14</v>
      </c>
      <c r="I871" t="s">
        <v>27</v>
      </c>
      <c r="J871" t="s">
        <v>21</v>
      </c>
    </row>
    <row r="872" spans="1:10" x14ac:dyDescent="0.45">
      <c r="A872" t="s">
        <v>1363</v>
      </c>
      <c r="B872" s="2">
        <v>46003</v>
      </c>
      <c r="C872" t="s">
        <v>1348</v>
      </c>
      <c r="D872" t="s">
        <v>164</v>
      </c>
      <c r="E872" t="s">
        <v>101</v>
      </c>
      <c r="F872">
        <v>10</v>
      </c>
      <c r="G872" s="3">
        <v>0.15</v>
      </c>
      <c r="H872" t="s">
        <v>14</v>
      </c>
      <c r="I872" t="s">
        <v>27</v>
      </c>
      <c r="J872" t="s">
        <v>21</v>
      </c>
    </row>
    <row r="873" spans="1:10" x14ac:dyDescent="0.45">
      <c r="A873" t="s">
        <v>1364</v>
      </c>
      <c r="B873" s="2">
        <v>45670</v>
      </c>
      <c r="C873" t="s">
        <v>418</v>
      </c>
      <c r="D873" t="s">
        <v>121</v>
      </c>
      <c r="E873" t="s">
        <v>25</v>
      </c>
      <c r="F873">
        <v>2</v>
      </c>
      <c r="G873" s="3">
        <v>0.08</v>
      </c>
      <c r="H873" t="s">
        <v>14</v>
      </c>
      <c r="I873" t="s">
        <v>27</v>
      </c>
      <c r="J873" t="s">
        <v>16</v>
      </c>
    </row>
    <row r="874" spans="1:10" x14ac:dyDescent="0.45">
      <c r="A874" t="s">
        <v>1365</v>
      </c>
      <c r="B874" s="2">
        <v>45675</v>
      </c>
      <c r="C874" t="s">
        <v>195</v>
      </c>
      <c r="D874" t="s">
        <v>500</v>
      </c>
      <c r="E874" t="s">
        <v>85</v>
      </c>
      <c r="F874">
        <v>8</v>
      </c>
      <c r="G874" s="3">
        <v>0</v>
      </c>
      <c r="H874" t="s">
        <v>14</v>
      </c>
      <c r="I874" t="s">
        <v>27</v>
      </c>
      <c r="J874" t="s">
        <v>21</v>
      </c>
    </row>
    <row r="875" spans="1:10" x14ac:dyDescent="0.45">
      <c r="A875" t="s">
        <v>1366</v>
      </c>
      <c r="B875" s="2">
        <v>45717</v>
      </c>
      <c r="C875" t="s">
        <v>166</v>
      </c>
      <c r="D875" t="s">
        <v>130</v>
      </c>
      <c r="E875" t="s">
        <v>13</v>
      </c>
      <c r="F875">
        <v>10</v>
      </c>
      <c r="G875" s="3">
        <v>0</v>
      </c>
      <c r="H875" t="s">
        <v>14</v>
      </c>
      <c r="I875" t="s">
        <v>27</v>
      </c>
      <c r="J875" t="s">
        <v>107</v>
      </c>
    </row>
    <row r="876" spans="1:10" x14ac:dyDescent="0.45">
      <c r="A876" t="s">
        <v>1367</v>
      </c>
      <c r="B876" s="2">
        <v>45940</v>
      </c>
      <c r="C876" t="s">
        <v>408</v>
      </c>
      <c r="D876" t="s">
        <v>439</v>
      </c>
      <c r="E876" t="s">
        <v>152</v>
      </c>
      <c r="F876">
        <v>5</v>
      </c>
      <c r="G876" s="3">
        <v>0.2</v>
      </c>
      <c r="H876" t="s">
        <v>14</v>
      </c>
      <c r="I876" t="s">
        <v>54</v>
      </c>
      <c r="J876" t="s">
        <v>21</v>
      </c>
    </row>
    <row r="877" spans="1:10" x14ac:dyDescent="0.45">
      <c r="A877" t="s">
        <v>1368</v>
      </c>
      <c r="B877" s="2">
        <v>45775</v>
      </c>
      <c r="C877" t="s">
        <v>783</v>
      </c>
      <c r="D877" t="s">
        <v>529</v>
      </c>
      <c r="E877" t="s">
        <v>218</v>
      </c>
      <c r="F877">
        <v>11</v>
      </c>
      <c r="G877" s="3">
        <v>0</v>
      </c>
      <c r="H877" t="s">
        <v>14</v>
      </c>
      <c r="I877" t="s">
        <v>15</v>
      </c>
      <c r="J877" t="s">
        <v>21</v>
      </c>
    </row>
    <row r="878" spans="1:10" x14ac:dyDescent="0.45">
      <c r="A878" t="s">
        <v>1369</v>
      </c>
      <c r="B878" s="2">
        <v>45891</v>
      </c>
      <c r="C878" t="s">
        <v>445</v>
      </c>
      <c r="D878" t="s">
        <v>43</v>
      </c>
      <c r="E878" t="s">
        <v>72</v>
      </c>
      <c r="F878">
        <v>1</v>
      </c>
      <c r="G878" s="3">
        <v>0.08</v>
      </c>
      <c r="H878" t="s">
        <v>26</v>
      </c>
      <c r="I878" t="s">
        <v>48</v>
      </c>
      <c r="J878" t="s">
        <v>59</v>
      </c>
    </row>
    <row r="879" spans="1:10" x14ac:dyDescent="0.45">
      <c r="A879" t="s">
        <v>1370</v>
      </c>
      <c r="B879" s="2">
        <v>45703</v>
      </c>
      <c r="C879" t="s">
        <v>734</v>
      </c>
      <c r="D879" t="s">
        <v>164</v>
      </c>
      <c r="E879" t="s">
        <v>72</v>
      </c>
      <c r="F879">
        <v>10</v>
      </c>
      <c r="G879" s="3">
        <v>0.05</v>
      </c>
      <c r="H879" t="s">
        <v>14</v>
      </c>
      <c r="I879" t="s">
        <v>48</v>
      </c>
      <c r="J879" t="s">
        <v>21</v>
      </c>
    </row>
    <row r="880" spans="1:10" x14ac:dyDescent="0.45">
      <c r="A880" t="s">
        <v>1371</v>
      </c>
      <c r="B880" s="2">
        <v>45900</v>
      </c>
      <c r="C880" t="s">
        <v>553</v>
      </c>
      <c r="D880" t="s">
        <v>118</v>
      </c>
      <c r="E880" t="s">
        <v>127</v>
      </c>
      <c r="F880">
        <v>4</v>
      </c>
      <c r="G880" s="3">
        <v>0.1</v>
      </c>
      <c r="H880" t="s">
        <v>14</v>
      </c>
      <c r="I880" t="s">
        <v>15</v>
      </c>
      <c r="J880" t="s">
        <v>21</v>
      </c>
    </row>
    <row r="881" spans="1:10" x14ac:dyDescent="0.45">
      <c r="A881" t="s">
        <v>1372</v>
      </c>
      <c r="B881" s="2">
        <v>45683</v>
      </c>
      <c r="C881" t="s">
        <v>1373</v>
      </c>
      <c r="D881" t="s">
        <v>106</v>
      </c>
      <c r="E881" t="s">
        <v>225</v>
      </c>
      <c r="F881">
        <v>6</v>
      </c>
      <c r="G881" s="3">
        <v>0.1</v>
      </c>
      <c r="H881" t="s">
        <v>14</v>
      </c>
      <c r="I881" t="s">
        <v>15</v>
      </c>
      <c r="J881" t="s">
        <v>36</v>
      </c>
    </row>
    <row r="882" spans="1:10" x14ac:dyDescent="0.45">
      <c r="A882" t="s">
        <v>1374</v>
      </c>
      <c r="B882" s="2">
        <v>45689</v>
      </c>
      <c r="C882" t="s">
        <v>438</v>
      </c>
      <c r="D882" t="s">
        <v>280</v>
      </c>
      <c r="E882" t="s">
        <v>101</v>
      </c>
      <c r="F882">
        <v>3</v>
      </c>
      <c r="G882" s="3">
        <v>0.1</v>
      </c>
      <c r="H882" t="s">
        <v>14</v>
      </c>
      <c r="I882" t="s">
        <v>54</v>
      </c>
      <c r="J882" t="s">
        <v>36</v>
      </c>
    </row>
    <row r="883" spans="1:10" x14ac:dyDescent="0.45">
      <c r="A883" t="s">
        <v>1375</v>
      </c>
      <c r="B883" s="2">
        <v>45874</v>
      </c>
      <c r="C883" t="s">
        <v>317</v>
      </c>
      <c r="D883" t="s">
        <v>12</v>
      </c>
      <c r="E883" t="s">
        <v>82</v>
      </c>
      <c r="F883">
        <v>6</v>
      </c>
      <c r="G883" s="3">
        <v>0.1</v>
      </c>
      <c r="H883" t="s">
        <v>26</v>
      </c>
      <c r="I883" t="s">
        <v>15</v>
      </c>
      <c r="J883" t="s">
        <v>16</v>
      </c>
    </row>
    <row r="884" spans="1:10" x14ac:dyDescent="0.45">
      <c r="A884" t="s">
        <v>1376</v>
      </c>
      <c r="B884" s="2">
        <v>45738</v>
      </c>
      <c r="C884" t="s">
        <v>368</v>
      </c>
      <c r="D884" t="s">
        <v>246</v>
      </c>
      <c r="E884" t="s">
        <v>136</v>
      </c>
      <c r="F884">
        <v>2</v>
      </c>
      <c r="G884" s="3">
        <v>0.05</v>
      </c>
      <c r="H884" t="s">
        <v>14</v>
      </c>
      <c r="I884" t="s">
        <v>15</v>
      </c>
      <c r="J884" t="s">
        <v>21</v>
      </c>
    </row>
    <row r="885" spans="1:10" x14ac:dyDescent="0.45">
      <c r="A885" t="s">
        <v>1377</v>
      </c>
      <c r="B885" s="2">
        <v>46141</v>
      </c>
      <c r="C885" t="s">
        <v>761</v>
      </c>
      <c r="D885" t="s">
        <v>404</v>
      </c>
      <c r="E885" t="s">
        <v>35</v>
      </c>
      <c r="F885">
        <v>11</v>
      </c>
      <c r="G885" s="3">
        <v>0.2</v>
      </c>
      <c r="H885" t="s">
        <v>14</v>
      </c>
      <c r="I885" t="s">
        <v>54</v>
      </c>
      <c r="J885" t="s">
        <v>16</v>
      </c>
    </row>
    <row r="886" spans="1:10" x14ac:dyDescent="0.45">
      <c r="A886" t="s">
        <v>1378</v>
      </c>
      <c r="B886" s="2">
        <v>45906</v>
      </c>
      <c r="C886" t="s">
        <v>1379</v>
      </c>
      <c r="D886" t="s">
        <v>410</v>
      </c>
      <c r="E886" t="s">
        <v>281</v>
      </c>
      <c r="F886">
        <v>6</v>
      </c>
      <c r="G886" s="3">
        <v>0.05</v>
      </c>
      <c r="H886" t="s">
        <v>14</v>
      </c>
      <c r="I886" t="s">
        <v>48</v>
      </c>
      <c r="J886" t="s">
        <v>59</v>
      </c>
    </row>
    <row r="887" spans="1:10" x14ac:dyDescent="0.45">
      <c r="A887" t="s">
        <v>1380</v>
      </c>
      <c r="B887" s="2">
        <v>45739</v>
      </c>
      <c r="C887" t="s">
        <v>670</v>
      </c>
      <c r="D887" t="s">
        <v>68</v>
      </c>
      <c r="E887" t="s">
        <v>58</v>
      </c>
      <c r="F887">
        <v>6</v>
      </c>
      <c r="G887" s="3">
        <v>0</v>
      </c>
      <c r="H887" t="s">
        <v>26</v>
      </c>
      <c r="I887" t="s">
        <v>15</v>
      </c>
      <c r="J887" t="s">
        <v>21</v>
      </c>
    </row>
    <row r="888" spans="1:10" x14ac:dyDescent="0.45">
      <c r="A888" t="s">
        <v>1381</v>
      </c>
      <c r="B888" s="2">
        <v>45786</v>
      </c>
      <c r="C888" t="s">
        <v>45</v>
      </c>
      <c r="D888" t="s">
        <v>230</v>
      </c>
      <c r="E888" t="s">
        <v>218</v>
      </c>
      <c r="F888">
        <v>9</v>
      </c>
      <c r="G888" s="3">
        <v>0.05</v>
      </c>
      <c r="H888" t="s">
        <v>53</v>
      </c>
      <c r="I888" t="s">
        <v>15</v>
      </c>
      <c r="J888" t="s">
        <v>59</v>
      </c>
    </row>
    <row r="889" spans="1:10" x14ac:dyDescent="0.45">
      <c r="A889" t="s">
        <v>1382</v>
      </c>
      <c r="B889" s="2">
        <v>45924</v>
      </c>
      <c r="C889" t="s">
        <v>1019</v>
      </c>
      <c r="D889" t="s">
        <v>182</v>
      </c>
      <c r="E889" t="s">
        <v>82</v>
      </c>
      <c r="F889">
        <v>5</v>
      </c>
      <c r="G889" s="3">
        <v>0.1</v>
      </c>
      <c r="H889" t="s">
        <v>14</v>
      </c>
      <c r="I889" t="s">
        <v>48</v>
      </c>
      <c r="J889" t="s">
        <v>21</v>
      </c>
    </row>
    <row r="890" spans="1:10" x14ac:dyDescent="0.45">
      <c r="A890" t="s">
        <v>1383</v>
      </c>
      <c r="B890" s="2">
        <v>46164</v>
      </c>
      <c r="C890" t="s">
        <v>229</v>
      </c>
      <c r="D890" t="s">
        <v>167</v>
      </c>
      <c r="E890" t="s">
        <v>197</v>
      </c>
      <c r="F890">
        <v>11</v>
      </c>
      <c r="G890" s="3">
        <v>0.05</v>
      </c>
      <c r="H890" t="s">
        <v>53</v>
      </c>
      <c r="I890" t="s">
        <v>15</v>
      </c>
      <c r="J890" t="s">
        <v>21</v>
      </c>
    </row>
    <row r="891" spans="1:10" x14ac:dyDescent="0.45">
      <c r="A891" t="s">
        <v>1384</v>
      </c>
      <c r="B891" s="2">
        <v>46139</v>
      </c>
      <c r="C891" t="s">
        <v>595</v>
      </c>
      <c r="D891" t="s">
        <v>230</v>
      </c>
      <c r="E891" t="s">
        <v>152</v>
      </c>
      <c r="F891">
        <v>12</v>
      </c>
      <c r="G891" s="3">
        <v>0</v>
      </c>
      <c r="H891" t="s">
        <v>14</v>
      </c>
      <c r="I891" t="s">
        <v>48</v>
      </c>
      <c r="J891" t="s">
        <v>16</v>
      </c>
    </row>
    <row r="892" spans="1:10" x14ac:dyDescent="0.45">
      <c r="A892" t="s">
        <v>1385</v>
      </c>
      <c r="B892" s="2">
        <v>45793</v>
      </c>
      <c r="C892" t="s">
        <v>585</v>
      </c>
      <c r="D892" t="s">
        <v>179</v>
      </c>
      <c r="E892" t="s">
        <v>127</v>
      </c>
      <c r="F892">
        <v>9</v>
      </c>
      <c r="G892" s="3">
        <v>0.15</v>
      </c>
      <c r="H892" t="s">
        <v>26</v>
      </c>
      <c r="I892" t="s">
        <v>27</v>
      </c>
      <c r="J892" t="s">
        <v>21</v>
      </c>
    </row>
    <row r="893" spans="1:10" x14ac:dyDescent="0.45">
      <c r="A893" t="s">
        <v>1386</v>
      </c>
      <c r="B893" s="2">
        <v>45958</v>
      </c>
      <c r="C893" t="s">
        <v>1179</v>
      </c>
      <c r="D893" t="s">
        <v>502</v>
      </c>
      <c r="E893" t="s">
        <v>218</v>
      </c>
      <c r="F893">
        <v>2</v>
      </c>
      <c r="G893" s="3">
        <v>0.1</v>
      </c>
      <c r="H893" t="s">
        <v>53</v>
      </c>
      <c r="I893" t="s">
        <v>27</v>
      </c>
      <c r="J893" t="s">
        <v>21</v>
      </c>
    </row>
    <row r="894" spans="1:10" x14ac:dyDescent="0.45">
      <c r="A894" t="s">
        <v>1387</v>
      </c>
      <c r="B894" s="2">
        <v>45704</v>
      </c>
      <c r="C894" t="s">
        <v>1014</v>
      </c>
      <c r="D894" t="s">
        <v>12</v>
      </c>
      <c r="E894" t="s">
        <v>111</v>
      </c>
      <c r="F894">
        <v>2</v>
      </c>
      <c r="G894" s="3">
        <v>0.1</v>
      </c>
      <c r="H894" t="s">
        <v>26</v>
      </c>
      <c r="I894" t="s">
        <v>15</v>
      </c>
      <c r="J894" t="s">
        <v>21</v>
      </c>
    </row>
    <row r="895" spans="1:10" x14ac:dyDescent="0.45">
      <c r="A895" t="s">
        <v>1388</v>
      </c>
      <c r="B895" s="2">
        <v>46146</v>
      </c>
      <c r="C895" t="s">
        <v>736</v>
      </c>
      <c r="D895" t="s">
        <v>235</v>
      </c>
      <c r="E895" t="s">
        <v>101</v>
      </c>
      <c r="F895">
        <v>12</v>
      </c>
      <c r="G895" s="3">
        <v>0.03</v>
      </c>
      <c r="H895" t="s">
        <v>53</v>
      </c>
      <c r="I895" t="s">
        <v>48</v>
      </c>
      <c r="J895" t="s">
        <v>21</v>
      </c>
    </row>
    <row r="896" spans="1:10" x14ac:dyDescent="0.45">
      <c r="A896" t="s">
        <v>1389</v>
      </c>
      <c r="B896" s="2">
        <v>46036</v>
      </c>
      <c r="C896" t="s">
        <v>945</v>
      </c>
      <c r="D896" t="s">
        <v>191</v>
      </c>
      <c r="E896" t="s">
        <v>197</v>
      </c>
      <c r="F896">
        <v>11</v>
      </c>
      <c r="G896" s="3">
        <v>0.2</v>
      </c>
      <c r="H896" t="s">
        <v>14</v>
      </c>
      <c r="I896" t="s">
        <v>15</v>
      </c>
      <c r="J896" t="s">
        <v>21</v>
      </c>
    </row>
    <row r="897" spans="1:10" x14ac:dyDescent="0.45">
      <c r="A897" t="s">
        <v>1390</v>
      </c>
      <c r="B897" s="2">
        <v>45757</v>
      </c>
      <c r="C897" t="s">
        <v>1024</v>
      </c>
      <c r="D897" t="s">
        <v>191</v>
      </c>
      <c r="E897" t="s">
        <v>152</v>
      </c>
      <c r="F897">
        <v>4</v>
      </c>
      <c r="G897" s="3">
        <v>0.08</v>
      </c>
      <c r="H897" t="s">
        <v>14</v>
      </c>
      <c r="I897" t="s">
        <v>48</v>
      </c>
      <c r="J897" t="s">
        <v>21</v>
      </c>
    </row>
    <row r="898" spans="1:10" x14ac:dyDescent="0.45">
      <c r="A898" t="s">
        <v>1391</v>
      </c>
      <c r="B898" s="2">
        <v>46094</v>
      </c>
      <c r="C898" t="s">
        <v>1128</v>
      </c>
      <c r="D898" t="s">
        <v>78</v>
      </c>
      <c r="E898" t="s">
        <v>140</v>
      </c>
      <c r="F898">
        <v>5</v>
      </c>
      <c r="G898" s="3">
        <v>0.1</v>
      </c>
      <c r="H898" t="s">
        <v>14</v>
      </c>
      <c r="I898" t="s">
        <v>54</v>
      </c>
      <c r="J898" t="s">
        <v>107</v>
      </c>
    </row>
    <row r="899" spans="1:10" x14ac:dyDescent="0.45">
      <c r="A899" t="s">
        <v>1392</v>
      </c>
      <c r="B899" s="2">
        <v>46189</v>
      </c>
      <c r="C899" t="s">
        <v>445</v>
      </c>
      <c r="D899" t="s">
        <v>249</v>
      </c>
      <c r="E899" t="s">
        <v>13</v>
      </c>
      <c r="F899">
        <v>5</v>
      </c>
      <c r="G899" s="3">
        <v>0.1</v>
      </c>
      <c r="H899" t="s">
        <v>14</v>
      </c>
      <c r="I899" t="s">
        <v>27</v>
      </c>
      <c r="J899" t="s">
        <v>21</v>
      </c>
    </row>
    <row r="900" spans="1:10" x14ac:dyDescent="0.45">
      <c r="A900" t="s">
        <v>1393</v>
      </c>
      <c r="B900" s="2">
        <v>46107</v>
      </c>
      <c r="C900" t="s">
        <v>1282</v>
      </c>
      <c r="D900" t="s">
        <v>205</v>
      </c>
      <c r="E900" t="s">
        <v>47</v>
      </c>
      <c r="F900">
        <v>4</v>
      </c>
      <c r="G900" s="3">
        <v>0.03</v>
      </c>
      <c r="H900" t="s">
        <v>14</v>
      </c>
      <c r="I900" t="s">
        <v>27</v>
      </c>
      <c r="J900" t="s">
        <v>107</v>
      </c>
    </row>
    <row r="901" spans="1:10" x14ac:dyDescent="0.45">
      <c r="A901" t="s">
        <v>1394</v>
      </c>
      <c r="B901" s="2">
        <v>45943</v>
      </c>
      <c r="C901" t="s">
        <v>132</v>
      </c>
      <c r="D901" t="s">
        <v>12</v>
      </c>
      <c r="E901" t="s">
        <v>218</v>
      </c>
      <c r="F901">
        <v>3</v>
      </c>
      <c r="G901" s="3">
        <v>0</v>
      </c>
      <c r="H901" t="s">
        <v>14</v>
      </c>
      <c r="I901" t="s">
        <v>54</v>
      </c>
      <c r="J901" t="s">
        <v>21</v>
      </c>
    </row>
    <row r="902" spans="1:10" x14ac:dyDescent="0.45">
      <c r="A902" t="s">
        <v>1395</v>
      </c>
      <c r="B902" s="2">
        <v>45857</v>
      </c>
      <c r="C902" t="s">
        <v>661</v>
      </c>
      <c r="D902" t="s">
        <v>164</v>
      </c>
      <c r="E902" t="s">
        <v>52</v>
      </c>
      <c r="F902">
        <v>1</v>
      </c>
      <c r="G902" s="3">
        <v>0.2</v>
      </c>
      <c r="H902" t="s">
        <v>53</v>
      </c>
      <c r="I902" t="s">
        <v>48</v>
      </c>
      <c r="J902" t="s">
        <v>21</v>
      </c>
    </row>
    <row r="903" spans="1:10" x14ac:dyDescent="0.45">
      <c r="A903" t="s">
        <v>1396</v>
      </c>
      <c r="B903" s="2">
        <v>46113</v>
      </c>
      <c r="C903" t="s">
        <v>815</v>
      </c>
      <c r="D903" t="s">
        <v>94</v>
      </c>
      <c r="E903" t="s">
        <v>13</v>
      </c>
      <c r="F903">
        <v>9</v>
      </c>
      <c r="G903" s="3">
        <v>0.03</v>
      </c>
      <c r="H903" t="s">
        <v>53</v>
      </c>
      <c r="I903" t="s">
        <v>27</v>
      </c>
      <c r="J903" t="s">
        <v>36</v>
      </c>
    </row>
    <row r="904" spans="1:10" x14ac:dyDescent="0.45">
      <c r="A904" t="s">
        <v>1397</v>
      </c>
      <c r="B904" s="2">
        <v>46100</v>
      </c>
      <c r="C904" t="s">
        <v>706</v>
      </c>
      <c r="D904" t="s">
        <v>155</v>
      </c>
      <c r="E904" t="s">
        <v>85</v>
      </c>
      <c r="F904">
        <v>8</v>
      </c>
      <c r="G904" s="3">
        <v>0.08</v>
      </c>
      <c r="H904" t="s">
        <v>14</v>
      </c>
      <c r="I904" t="s">
        <v>54</v>
      </c>
      <c r="J904" t="s">
        <v>107</v>
      </c>
    </row>
    <row r="905" spans="1:10" x14ac:dyDescent="0.45">
      <c r="A905" t="s">
        <v>1398</v>
      </c>
      <c r="B905" s="2">
        <v>45738</v>
      </c>
      <c r="C905" t="s">
        <v>543</v>
      </c>
      <c r="D905" t="s">
        <v>646</v>
      </c>
      <c r="E905" t="s">
        <v>58</v>
      </c>
      <c r="F905">
        <v>12</v>
      </c>
      <c r="G905" s="3">
        <v>0.05</v>
      </c>
      <c r="H905" t="s">
        <v>53</v>
      </c>
      <c r="I905" t="s">
        <v>27</v>
      </c>
      <c r="J905" t="s">
        <v>21</v>
      </c>
    </row>
    <row r="906" spans="1:10" x14ac:dyDescent="0.45">
      <c r="A906" t="s">
        <v>1399</v>
      </c>
      <c r="B906" s="2">
        <v>46183</v>
      </c>
      <c r="C906" t="s">
        <v>305</v>
      </c>
      <c r="D906" t="s">
        <v>205</v>
      </c>
      <c r="E906" t="s">
        <v>85</v>
      </c>
      <c r="F906">
        <v>11</v>
      </c>
      <c r="G906" s="3">
        <v>0</v>
      </c>
      <c r="H906" t="s">
        <v>53</v>
      </c>
      <c r="I906" t="s">
        <v>27</v>
      </c>
      <c r="J906" t="s">
        <v>36</v>
      </c>
    </row>
    <row r="907" spans="1:10" x14ac:dyDescent="0.45">
      <c r="A907" t="s">
        <v>1400</v>
      </c>
      <c r="B907" s="2">
        <v>46191</v>
      </c>
      <c r="C907" t="s">
        <v>541</v>
      </c>
      <c r="D907" t="s">
        <v>235</v>
      </c>
      <c r="E907" t="s">
        <v>31</v>
      </c>
      <c r="F907">
        <v>6</v>
      </c>
      <c r="G907" s="3">
        <v>0.05</v>
      </c>
      <c r="H907" t="s">
        <v>53</v>
      </c>
      <c r="I907" t="s">
        <v>48</v>
      </c>
      <c r="J907" t="s">
        <v>107</v>
      </c>
    </row>
    <row r="908" spans="1:10" x14ac:dyDescent="0.45">
      <c r="A908" t="s">
        <v>1401</v>
      </c>
      <c r="B908" s="2">
        <v>45798</v>
      </c>
      <c r="C908" t="s">
        <v>682</v>
      </c>
      <c r="D908" t="s">
        <v>110</v>
      </c>
      <c r="E908" t="s">
        <v>218</v>
      </c>
      <c r="F908">
        <v>10</v>
      </c>
      <c r="G908" s="3">
        <v>0.15</v>
      </c>
      <c r="H908" t="s">
        <v>53</v>
      </c>
      <c r="I908" t="s">
        <v>54</v>
      </c>
      <c r="J908" t="s">
        <v>59</v>
      </c>
    </row>
    <row r="909" spans="1:10" x14ac:dyDescent="0.45">
      <c r="A909" t="s">
        <v>1402</v>
      </c>
      <c r="B909" s="2">
        <v>46154</v>
      </c>
      <c r="C909" t="s">
        <v>1168</v>
      </c>
      <c r="D909" t="s">
        <v>280</v>
      </c>
      <c r="E909" t="s">
        <v>225</v>
      </c>
      <c r="F909">
        <v>3</v>
      </c>
      <c r="G909" s="3">
        <v>0.2</v>
      </c>
      <c r="H909" t="s">
        <v>14</v>
      </c>
      <c r="I909" t="s">
        <v>54</v>
      </c>
      <c r="J909" t="s">
        <v>21</v>
      </c>
    </row>
    <row r="910" spans="1:10" x14ac:dyDescent="0.45">
      <c r="A910" t="s">
        <v>1403</v>
      </c>
      <c r="B910" s="2">
        <v>45877</v>
      </c>
      <c r="C910" t="s">
        <v>1061</v>
      </c>
      <c r="D910" t="s">
        <v>126</v>
      </c>
      <c r="E910" t="s">
        <v>111</v>
      </c>
      <c r="F910">
        <v>1</v>
      </c>
      <c r="G910" s="3">
        <v>0.15</v>
      </c>
      <c r="H910" t="s">
        <v>14</v>
      </c>
      <c r="I910" t="s">
        <v>54</v>
      </c>
      <c r="J910" t="s">
        <v>59</v>
      </c>
    </row>
    <row r="911" spans="1:10" x14ac:dyDescent="0.45">
      <c r="A911" t="s">
        <v>1404</v>
      </c>
      <c r="B911" s="2">
        <v>45927</v>
      </c>
      <c r="C911" t="s">
        <v>541</v>
      </c>
      <c r="D911" t="s">
        <v>230</v>
      </c>
      <c r="E911" t="s">
        <v>72</v>
      </c>
      <c r="F911">
        <v>10</v>
      </c>
      <c r="G911" s="3">
        <v>0.15</v>
      </c>
      <c r="H911" t="s">
        <v>53</v>
      </c>
      <c r="I911" t="s">
        <v>54</v>
      </c>
      <c r="J911" t="s">
        <v>21</v>
      </c>
    </row>
    <row r="912" spans="1:10" x14ac:dyDescent="0.45">
      <c r="A912" t="s">
        <v>1405</v>
      </c>
      <c r="B912" s="2">
        <v>45842</v>
      </c>
      <c r="C912" t="s">
        <v>492</v>
      </c>
      <c r="D912" t="s">
        <v>404</v>
      </c>
      <c r="E912" t="s">
        <v>20</v>
      </c>
      <c r="F912">
        <v>5</v>
      </c>
      <c r="G912" s="3">
        <v>0.05</v>
      </c>
      <c r="H912" t="s">
        <v>53</v>
      </c>
      <c r="I912" t="s">
        <v>15</v>
      </c>
      <c r="J912" t="s">
        <v>21</v>
      </c>
    </row>
    <row r="913" spans="1:10" x14ac:dyDescent="0.45">
      <c r="A913" t="s">
        <v>1406</v>
      </c>
      <c r="B913" s="2">
        <v>46023</v>
      </c>
      <c r="C913" t="s">
        <v>301</v>
      </c>
      <c r="D913" t="s">
        <v>318</v>
      </c>
      <c r="E913" t="s">
        <v>82</v>
      </c>
      <c r="F913">
        <v>9</v>
      </c>
      <c r="G913" s="3">
        <v>0.2</v>
      </c>
      <c r="H913" t="s">
        <v>14</v>
      </c>
      <c r="I913" t="s">
        <v>54</v>
      </c>
      <c r="J913" t="s">
        <v>21</v>
      </c>
    </row>
    <row r="914" spans="1:10" x14ac:dyDescent="0.45">
      <c r="A914" t="s">
        <v>1407</v>
      </c>
      <c r="B914" s="2">
        <v>46115</v>
      </c>
      <c r="C914" t="s">
        <v>675</v>
      </c>
      <c r="D914" t="s">
        <v>106</v>
      </c>
      <c r="E914" t="s">
        <v>13</v>
      </c>
      <c r="F914">
        <v>6</v>
      </c>
      <c r="G914" s="3">
        <v>0.05</v>
      </c>
      <c r="H914" t="s">
        <v>53</v>
      </c>
      <c r="I914" t="s">
        <v>48</v>
      </c>
      <c r="J914" t="s">
        <v>21</v>
      </c>
    </row>
    <row r="915" spans="1:10" x14ac:dyDescent="0.45">
      <c r="A915" t="s">
        <v>1408</v>
      </c>
      <c r="B915" s="2">
        <v>46065</v>
      </c>
      <c r="C915" t="s">
        <v>893</v>
      </c>
      <c r="D915" t="s">
        <v>646</v>
      </c>
      <c r="E915" t="s">
        <v>58</v>
      </c>
      <c r="F915">
        <v>12</v>
      </c>
      <c r="G915" s="3">
        <v>0.03</v>
      </c>
      <c r="H915" t="s">
        <v>53</v>
      </c>
      <c r="I915" t="s">
        <v>15</v>
      </c>
      <c r="J915" t="s">
        <v>16</v>
      </c>
    </row>
    <row r="916" spans="1:10" x14ac:dyDescent="0.45">
      <c r="A916" t="s">
        <v>1409</v>
      </c>
      <c r="B916" s="2">
        <v>45898</v>
      </c>
      <c r="C916" t="s">
        <v>589</v>
      </c>
      <c r="D916" t="s">
        <v>81</v>
      </c>
      <c r="E916" t="s">
        <v>13</v>
      </c>
      <c r="F916">
        <v>1</v>
      </c>
      <c r="G916" s="3">
        <v>0.08</v>
      </c>
      <c r="H916" t="s">
        <v>14</v>
      </c>
      <c r="I916" t="s">
        <v>54</v>
      </c>
      <c r="J916" t="s">
        <v>36</v>
      </c>
    </row>
    <row r="917" spans="1:10" x14ac:dyDescent="0.45">
      <c r="A917" t="s">
        <v>1410</v>
      </c>
      <c r="B917" s="2">
        <v>45988</v>
      </c>
      <c r="C917" t="s">
        <v>70</v>
      </c>
      <c r="D917" t="s">
        <v>68</v>
      </c>
      <c r="E917" t="s">
        <v>35</v>
      </c>
      <c r="F917">
        <v>5</v>
      </c>
      <c r="G917" s="3">
        <v>0.1</v>
      </c>
      <c r="H917" t="s">
        <v>14</v>
      </c>
      <c r="I917" t="s">
        <v>15</v>
      </c>
      <c r="J917" t="s">
        <v>21</v>
      </c>
    </row>
    <row r="918" spans="1:10" x14ac:dyDescent="0.45">
      <c r="A918" t="s">
        <v>1411</v>
      </c>
      <c r="B918" s="2">
        <v>46155</v>
      </c>
      <c r="C918" t="s">
        <v>1412</v>
      </c>
      <c r="D918" t="s">
        <v>529</v>
      </c>
      <c r="E918" t="s">
        <v>152</v>
      </c>
      <c r="F918">
        <v>12</v>
      </c>
      <c r="G918" s="3">
        <v>0.05</v>
      </c>
      <c r="H918" t="s">
        <v>14</v>
      </c>
      <c r="I918" t="s">
        <v>48</v>
      </c>
      <c r="J918" t="s">
        <v>21</v>
      </c>
    </row>
    <row r="919" spans="1:10" x14ac:dyDescent="0.45">
      <c r="A919" t="s">
        <v>1413</v>
      </c>
      <c r="B919" s="2">
        <v>45828</v>
      </c>
      <c r="C919" t="s">
        <v>1149</v>
      </c>
      <c r="D919" t="s">
        <v>614</v>
      </c>
      <c r="E919" t="s">
        <v>197</v>
      </c>
      <c r="F919">
        <v>9</v>
      </c>
      <c r="G919" s="3">
        <v>0.05</v>
      </c>
      <c r="H919" t="s">
        <v>53</v>
      </c>
      <c r="I919" t="s">
        <v>48</v>
      </c>
      <c r="J919" t="s">
        <v>107</v>
      </c>
    </row>
    <row r="920" spans="1:10" x14ac:dyDescent="0.45">
      <c r="A920" t="s">
        <v>1414</v>
      </c>
      <c r="B920" s="2">
        <v>45790</v>
      </c>
      <c r="C920" t="s">
        <v>1415</v>
      </c>
      <c r="D920" t="s">
        <v>34</v>
      </c>
      <c r="E920" t="s">
        <v>281</v>
      </c>
      <c r="F920">
        <v>10</v>
      </c>
      <c r="G920" s="3">
        <v>0</v>
      </c>
      <c r="H920" t="s">
        <v>26</v>
      </c>
      <c r="I920" t="s">
        <v>48</v>
      </c>
      <c r="J920" t="s">
        <v>16</v>
      </c>
    </row>
    <row r="921" spans="1:10" x14ac:dyDescent="0.45">
      <c r="A921" t="s">
        <v>1416</v>
      </c>
      <c r="B921" s="2">
        <v>45722</v>
      </c>
      <c r="C921" t="s">
        <v>890</v>
      </c>
      <c r="D921" t="s">
        <v>148</v>
      </c>
      <c r="E921" t="s">
        <v>58</v>
      </c>
      <c r="F921">
        <v>11</v>
      </c>
      <c r="G921" s="3">
        <v>0</v>
      </c>
      <c r="H921" t="s">
        <v>14</v>
      </c>
      <c r="I921" t="s">
        <v>27</v>
      </c>
      <c r="J921" t="s">
        <v>21</v>
      </c>
    </row>
    <row r="922" spans="1:10" x14ac:dyDescent="0.45">
      <c r="A922" t="s">
        <v>1417</v>
      </c>
      <c r="B922" s="2">
        <v>45892</v>
      </c>
      <c r="C922" t="s">
        <v>732</v>
      </c>
      <c r="D922" t="s">
        <v>272</v>
      </c>
      <c r="E922" t="s">
        <v>136</v>
      </c>
      <c r="F922">
        <v>5</v>
      </c>
      <c r="G922" s="3">
        <v>0.03</v>
      </c>
      <c r="H922" t="s">
        <v>26</v>
      </c>
      <c r="I922" t="s">
        <v>27</v>
      </c>
      <c r="J922" t="s">
        <v>21</v>
      </c>
    </row>
    <row r="923" spans="1:10" x14ac:dyDescent="0.45">
      <c r="A923" t="s">
        <v>1418</v>
      </c>
      <c r="B923" s="2">
        <v>45694</v>
      </c>
      <c r="C923" t="s">
        <v>622</v>
      </c>
      <c r="D923" t="s">
        <v>410</v>
      </c>
      <c r="E923" t="s">
        <v>97</v>
      </c>
      <c r="F923">
        <v>1</v>
      </c>
      <c r="G923" s="3">
        <v>0</v>
      </c>
      <c r="H923" t="s">
        <v>14</v>
      </c>
      <c r="I923" t="s">
        <v>15</v>
      </c>
      <c r="J923" t="s">
        <v>21</v>
      </c>
    </row>
    <row r="924" spans="1:10" x14ac:dyDescent="0.45">
      <c r="A924" t="s">
        <v>1419</v>
      </c>
      <c r="B924" s="2">
        <v>45893</v>
      </c>
      <c r="C924" t="s">
        <v>815</v>
      </c>
      <c r="D924" t="s">
        <v>391</v>
      </c>
      <c r="E924" t="s">
        <v>97</v>
      </c>
      <c r="F924">
        <v>11</v>
      </c>
      <c r="G924" s="3">
        <v>0.05</v>
      </c>
      <c r="H924" t="s">
        <v>14</v>
      </c>
      <c r="I924" t="s">
        <v>48</v>
      </c>
      <c r="J924" t="s">
        <v>16</v>
      </c>
    </row>
    <row r="925" spans="1:10" x14ac:dyDescent="0.45">
      <c r="A925" t="s">
        <v>1420</v>
      </c>
      <c r="B925" s="2">
        <v>45934</v>
      </c>
      <c r="C925" t="s">
        <v>1293</v>
      </c>
      <c r="D925" t="s">
        <v>380</v>
      </c>
      <c r="E925" t="s">
        <v>225</v>
      </c>
      <c r="F925">
        <v>2</v>
      </c>
      <c r="G925" s="3">
        <v>0</v>
      </c>
      <c r="H925" t="s">
        <v>14</v>
      </c>
      <c r="I925" t="s">
        <v>15</v>
      </c>
      <c r="J925" t="s">
        <v>21</v>
      </c>
    </row>
    <row r="926" spans="1:10" x14ac:dyDescent="0.45">
      <c r="A926" t="s">
        <v>1421</v>
      </c>
      <c r="B926" s="2">
        <v>45813</v>
      </c>
      <c r="C926" t="s">
        <v>315</v>
      </c>
      <c r="D926" t="s">
        <v>164</v>
      </c>
      <c r="E926" t="s">
        <v>82</v>
      </c>
      <c r="F926">
        <v>2</v>
      </c>
      <c r="G926" s="3">
        <v>0.15</v>
      </c>
      <c r="H926" t="s">
        <v>14</v>
      </c>
      <c r="I926" t="s">
        <v>27</v>
      </c>
      <c r="J926" t="s">
        <v>16</v>
      </c>
    </row>
    <row r="927" spans="1:10" x14ac:dyDescent="0.45">
      <c r="A927" t="s">
        <v>1422</v>
      </c>
      <c r="B927" s="2">
        <v>45681</v>
      </c>
      <c r="C927" t="s">
        <v>146</v>
      </c>
      <c r="D927" t="s">
        <v>118</v>
      </c>
      <c r="E927" t="s">
        <v>111</v>
      </c>
      <c r="F927">
        <v>5</v>
      </c>
      <c r="G927" s="3">
        <v>0.08</v>
      </c>
      <c r="H927" t="s">
        <v>14</v>
      </c>
      <c r="I927" t="s">
        <v>48</v>
      </c>
      <c r="J927" t="s">
        <v>21</v>
      </c>
    </row>
    <row r="928" spans="1:10" x14ac:dyDescent="0.45">
      <c r="A928" t="s">
        <v>1423</v>
      </c>
      <c r="B928" s="2">
        <v>46043</v>
      </c>
      <c r="C928" t="s">
        <v>263</v>
      </c>
      <c r="D928" t="s">
        <v>94</v>
      </c>
      <c r="E928" t="s">
        <v>47</v>
      </c>
      <c r="F928">
        <v>5</v>
      </c>
      <c r="G928" s="3">
        <v>0.15</v>
      </c>
      <c r="H928" t="s">
        <v>14</v>
      </c>
      <c r="I928" t="s">
        <v>15</v>
      </c>
      <c r="J928" t="s">
        <v>21</v>
      </c>
    </row>
    <row r="929" spans="1:10" x14ac:dyDescent="0.45">
      <c r="A929" t="s">
        <v>1424</v>
      </c>
      <c r="B929" s="2">
        <v>46176</v>
      </c>
      <c r="C929" t="s">
        <v>492</v>
      </c>
      <c r="D929" t="s">
        <v>106</v>
      </c>
      <c r="E929" t="s">
        <v>72</v>
      </c>
      <c r="F929">
        <v>4</v>
      </c>
      <c r="G929" s="3">
        <v>0.15</v>
      </c>
      <c r="H929" t="s">
        <v>14</v>
      </c>
      <c r="I929" t="s">
        <v>15</v>
      </c>
      <c r="J929" t="s">
        <v>59</v>
      </c>
    </row>
    <row r="930" spans="1:10" x14ac:dyDescent="0.45">
      <c r="A930" t="s">
        <v>1425</v>
      </c>
      <c r="B930" s="2">
        <v>45768</v>
      </c>
      <c r="C930" t="s">
        <v>668</v>
      </c>
      <c r="D930" t="s">
        <v>164</v>
      </c>
      <c r="E930" t="s">
        <v>72</v>
      </c>
      <c r="F930">
        <v>8</v>
      </c>
      <c r="G930" s="3">
        <v>0.05</v>
      </c>
      <c r="H930" t="s">
        <v>14</v>
      </c>
      <c r="I930" t="s">
        <v>48</v>
      </c>
      <c r="J930" t="s">
        <v>21</v>
      </c>
    </row>
    <row r="931" spans="1:10" x14ac:dyDescent="0.45">
      <c r="A931" t="s">
        <v>1426</v>
      </c>
      <c r="B931" s="2">
        <v>46146</v>
      </c>
      <c r="C931" t="s">
        <v>436</v>
      </c>
      <c r="D931" t="s">
        <v>62</v>
      </c>
      <c r="E931" t="s">
        <v>58</v>
      </c>
      <c r="F931">
        <v>10</v>
      </c>
      <c r="G931" s="3">
        <v>0</v>
      </c>
      <c r="H931" t="s">
        <v>53</v>
      </c>
      <c r="I931" t="s">
        <v>27</v>
      </c>
      <c r="J931" t="s">
        <v>21</v>
      </c>
    </row>
    <row r="932" spans="1:10" x14ac:dyDescent="0.45">
      <c r="A932" t="s">
        <v>1427</v>
      </c>
      <c r="B932" s="2">
        <v>45831</v>
      </c>
      <c r="C932" t="s">
        <v>301</v>
      </c>
      <c r="D932" t="s">
        <v>241</v>
      </c>
      <c r="E932" t="s">
        <v>31</v>
      </c>
      <c r="F932">
        <v>4</v>
      </c>
      <c r="G932" s="3">
        <v>0.2</v>
      </c>
      <c r="H932" t="s">
        <v>14</v>
      </c>
      <c r="I932" t="s">
        <v>48</v>
      </c>
      <c r="J932" t="s">
        <v>21</v>
      </c>
    </row>
    <row r="933" spans="1:10" x14ac:dyDescent="0.45">
      <c r="A933" t="s">
        <v>1428</v>
      </c>
      <c r="B933" s="2">
        <v>45896</v>
      </c>
      <c r="C933" t="s">
        <v>1014</v>
      </c>
      <c r="D933" t="s">
        <v>280</v>
      </c>
      <c r="E933" t="s">
        <v>140</v>
      </c>
      <c r="F933">
        <v>1</v>
      </c>
      <c r="G933" s="3">
        <v>0.2</v>
      </c>
      <c r="H933" t="s">
        <v>14</v>
      </c>
      <c r="I933" t="s">
        <v>27</v>
      </c>
      <c r="J933" t="s">
        <v>59</v>
      </c>
    </row>
    <row r="934" spans="1:10" x14ac:dyDescent="0.45">
      <c r="A934" t="s">
        <v>1429</v>
      </c>
      <c r="B934" s="2">
        <v>46074</v>
      </c>
      <c r="C934" t="s">
        <v>804</v>
      </c>
      <c r="D934" t="s">
        <v>51</v>
      </c>
      <c r="E934" t="s">
        <v>281</v>
      </c>
      <c r="F934">
        <v>1</v>
      </c>
      <c r="G934" s="3">
        <v>0.08</v>
      </c>
      <c r="H934" t="s">
        <v>53</v>
      </c>
      <c r="I934" t="s">
        <v>15</v>
      </c>
      <c r="J934" t="s">
        <v>21</v>
      </c>
    </row>
    <row r="935" spans="1:10" x14ac:dyDescent="0.45">
      <c r="A935" t="s">
        <v>1430</v>
      </c>
      <c r="B935" s="2">
        <v>46130</v>
      </c>
      <c r="C935" t="s">
        <v>1431</v>
      </c>
      <c r="D935" t="s">
        <v>283</v>
      </c>
      <c r="E935" t="s">
        <v>281</v>
      </c>
      <c r="F935">
        <v>12</v>
      </c>
      <c r="G935" s="3">
        <v>0.2</v>
      </c>
      <c r="H935" t="s">
        <v>14</v>
      </c>
      <c r="I935" t="s">
        <v>48</v>
      </c>
      <c r="J935" t="s">
        <v>36</v>
      </c>
    </row>
    <row r="936" spans="1:10" x14ac:dyDescent="0.45">
      <c r="A936" t="s">
        <v>1432</v>
      </c>
      <c r="B936" s="2">
        <v>45788</v>
      </c>
      <c r="C936" t="s">
        <v>146</v>
      </c>
      <c r="D936" t="s">
        <v>39</v>
      </c>
      <c r="E936" t="s">
        <v>136</v>
      </c>
      <c r="F936">
        <v>1</v>
      </c>
      <c r="G936" s="3">
        <v>0.03</v>
      </c>
      <c r="H936" t="s">
        <v>14</v>
      </c>
      <c r="I936" t="s">
        <v>48</v>
      </c>
      <c r="J936" t="s">
        <v>21</v>
      </c>
    </row>
    <row r="937" spans="1:10" x14ac:dyDescent="0.45">
      <c r="A937" t="s">
        <v>1433</v>
      </c>
      <c r="B937" s="2">
        <v>46092</v>
      </c>
      <c r="C937" t="s">
        <v>160</v>
      </c>
      <c r="D937" t="s">
        <v>646</v>
      </c>
      <c r="E937" t="s">
        <v>35</v>
      </c>
      <c r="F937">
        <v>8</v>
      </c>
      <c r="G937" s="3">
        <v>0.03</v>
      </c>
      <c r="H937" t="s">
        <v>53</v>
      </c>
      <c r="I937" t="s">
        <v>15</v>
      </c>
      <c r="J937" t="s">
        <v>21</v>
      </c>
    </row>
    <row r="938" spans="1:10" x14ac:dyDescent="0.45">
      <c r="A938" t="s">
        <v>1434</v>
      </c>
      <c r="B938" s="2">
        <v>45667</v>
      </c>
      <c r="C938" t="s">
        <v>87</v>
      </c>
      <c r="D938" t="s">
        <v>230</v>
      </c>
      <c r="E938" t="s">
        <v>136</v>
      </c>
      <c r="F938">
        <v>5</v>
      </c>
      <c r="G938" s="3">
        <v>0</v>
      </c>
      <c r="H938" t="s">
        <v>14</v>
      </c>
      <c r="I938" t="s">
        <v>27</v>
      </c>
      <c r="J938" t="s">
        <v>59</v>
      </c>
    </row>
    <row r="939" spans="1:10" x14ac:dyDescent="0.45">
      <c r="A939" t="s">
        <v>1435</v>
      </c>
      <c r="B939" s="2">
        <v>45988</v>
      </c>
      <c r="C939" t="s">
        <v>1436</v>
      </c>
      <c r="D939" t="s">
        <v>312</v>
      </c>
      <c r="E939" t="s">
        <v>140</v>
      </c>
      <c r="F939">
        <v>10</v>
      </c>
      <c r="G939" s="3">
        <v>0.1</v>
      </c>
      <c r="H939" t="s">
        <v>14</v>
      </c>
      <c r="I939" t="s">
        <v>54</v>
      </c>
      <c r="J939" t="s">
        <v>21</v>
      </c>
    </row>
    <row r="940" spans="1:10" x14ac:dyDescent="0.45">
      <c r="A940" t="s">
        <v>1437</v>
      </c>
      <c r="B940" s="2">
        <v>46038</v>
      </c>
      <c r="C940" t="s">
        <v>96</v>
      </c>
      <c r="D940" t="s">
        <v>249</v>
      </c>
      <c r="E940" t="s">
        <v>82</v>
      </c>
      <c r="F940">
        <v>9</v>
      </c>
      <c r="G940" s="3">
        <v>0.08</v>
      </c>
      <c r="H940" t="s">
        <v>14</v>
      </c>
      <c r="I940" t="s">
        <v>54</v>
      </c>
      <c r="J940" t="s">
        <v>36</v>
      </c>
    </row>
    <row r="941" spans="1:10" x14ac:dyDescent="0.45">
      <c r="A941" t="s">
        <v>1438</v>
      </c>
      <c r="B941" s="2">
        <v>46194</v>
      </c>
      <c r="C941" t="s">
        <v>611</v>
      </c>
      <c r="D941" t="s">
        <v>182</v>
      </c>
      <c r="E941" t="s">
        <v>144</v>
      </c>
      <c r="F941">
        <v>12</v>
      </c>
      <c r="G941" s="3">
        <v>0.2</v>
      </c>
      <c r="H941" t="s">
        <v>14</v>
      </c>
      <c r="I941" t="s">
        <v>15</v>
      </c>
      <c r="J941" t="s">
        <v>21</v>
      </c>
    </row>
    <row r="942" spans="1:10" x14ac:dyDescent="0.45">
      <c r="A942" t="s">
        <v>1439</v>
      </c>
      <c r="B942" s="2">
        <v>45977</v>
      </c>
      <c r="C942" t="s">
        <v>806</v>
      </c>
      <c r="D942" t="s">
        <v>277</v>
      </c>
      <c r="E942" t="s">
        <v>97</v>
      </c>
      <c r="F942">
        <v>12</v>
      </c>
      <c r="G942" s="3">
        <v>0.05</v>
      </c>
      <c r="H942" t="s">
        <v>14</v>
      </c>
      <c r="I942" t="s">
        <v>48</v>
      </c>
      <c r="J942" t="s">
        <v>21</v>
      </c>
    </row>
    <row r="943" spans="1:10" x14ac:dyDescent="0.45">
      <c r="A943" t="s">
        <v>1440</v>
      </c>
      <c r="B943" s="2">
        <v>46137</v>
      </c>
      <c r="C943" t="s">
        <v>1441</v>
      </c>
      <c r="D943" t="s">
        <v>143</v>
      </c>
      <c r="E943" t="s">
        <v>35</v>
      </c>
      <c r="F943">
        <v>10</v>
      </c>
      <c r="G943" s="3">
        <v>0.03</v>
      </c>
      <c r="H943" t="s">
        <v>14</v>
      </c>
      <c r="I943" t="s">
        <v>54</v>
      </c>
      <c r="J943" t="s">
        <v>21</v>
      </c>
    </row>
    <row r="944" spans="1:10" x14ac:dyDescent="0.45">
      <c r="A944" t="s">
        <v>1442</v>
      </c>
      <c r="B944" s="2">
        <v>45949</v>
      </c>
      <c r="C944" t="s">
        <v>1443</v>
      </c>
      <c r="D944" t="s">
        <v>71</v>
      </c>
      <c r="E944" t="s">
        <v>152</v>
      </c>
      <c r="F944">
        <v>7</v>
      </c>
      <c r="G944" s="3">
        <v>0.08</v>
      </c>
      <c r="H944" t="s">
        <v>14</v>
      </c>
      <c r="I944" t="s">
        <v>15</v>
      </c>
      <c r="J944" t="s">
        <v>36</v>
      </c>
    </row>
    <row r="945" spans="1:10" x14ac:dyDescent="0.45">
      <c r="A945" t="s">
        <v>1444</v>
      </c>
      <c r="B945" s="2">
        <v>45865</v>
      </c>
      <c r="C945" t="s">
        <v>1445</v>
      </c>
      <c r="D945" t="s">
        <v>164</v>
      </c>
      <c r="E945" t="s">
        <v>25</v>
      </c>
      <c r="F945">
        <v>2</v>
      </c>
      <c r="G945" s="3">
        <v>0.03</v>
      </c>
      <c r="H945" t="s">
        <v>14</v>
      </c>
      <c r="I945" t="s">
        <v>54</v>
      </c>
      <c r="J945" t="s">
        <v>21</v>
      </c>
    </row>
    <row r="946" spans="1:10" x14ac:dyDescent="0.45">
      <c r="A946" t="s">
        <v>1446</v>
      </c>
      <c r="B946" s="2">
        <v>45787</v>
      </c>
      <c r="C946" t="s">
        <v>790</v>
      </c>
      <c r="D946" t="s">
        <v>196</v>
      </c>
      <c r="E946" t="s">
        <v>31</v>
      </c>
      <c r="F946">
        <v>9</v>
      </c>
      <c r="G946" s="3">
        <v>0.15</v>
      </c>
      <c r="H946" t="s">
        <v>14</v>
      </c>
      <c r="I946" t="s">
        <v>27</v>
      </c>
      <c r="J946" t="s">
        <v>107</v>
      </c>
    </row>
    <row r="947" spans="1:10" x14ac:dyDescent="0.45">
      <c r="A947" t="s">
        <v>1447</v>
      </c>
      <c r="B947" s="2">
        <v>46142</v>
      </c>
      <c r="C947" t="s">
        <v>723</v>
      </c>
      <c r="D947" t="s">
        <v>34</v>
      </c>
      <c r="E947" t="s">
        <v>20</v>
      </c>
      <c r="F947">
        <v>4</v>
      </c>
      <c r="G947" s="3">
        <v>0.03</v>
      </c>
      <c r="H947" t="s">
        <v>14</v>
      </c>
      <c r="I947" t="s">
        <v>54</v>
      </c>
      <c r="J947" t="s">
        <v>107</v>
      </c>
    </row>
    <row r="948" spans="1:10" x14ac:dyDescent="0.45">
      <c r="A948" t="s">
        <v>1448</v>
      </c>
      <c r="B948" s="2">
        <v>45804</v>
      </c>
      <c r="C948" t="s">
        <v>890</v>
      </c>
      <c r="D948" t="s">
        <v>34</v>
      </c>
      <c r="E948" t="s">
        <v>225</v>
      </c>
      <c r="F948">
        <v>3</v>
      </c>
      <c r="G948" s="3">
        <v>0.2</v>
      </c>
      <c r="H948" t="s">
        <v>53</v>
      </c>
      <c r="I948" t="s">
        <v>27</v>
      </c>
      <c r="J948" t="s">
        <v>21</v>
      </c>
    </row>
    <row r="949" spans="1:10" x14ac:dyDescent="0.45">
      <c r="A949" t="s">
        <v>1449</v>
      </c>
      <c r="B949" s="2">
        <v>46108</v>
      </c>
      <c r="C949" t="s">
        <v>350</v>
      </c>
      <c r="D949" t="s">
        <v>182</v>
      </c>
      <c r="E949" t="s">
        <v>140</v>
      </c>
      <c r="F949">
        <v>7</v>
      </c>
      <c r="G949" s="3">
        <v>0.2</v>
      </c>
      <c r="H949" t="s">
        <v>14</v>
      </c>
      <c r="I949" t="s">
        <v>48</v>
      </c>
      <c r="J949" t="s">
        <v>21</v>
      </c>
    </row>
    <row r="950" spans="1:10" x14ac:dyDescent="0.45">
      <c r="A950" t="s">
        <v>1450</v>
      </c>
      <c r="B950" s="2">
        <v>46052</v>
      </c>
      <c r="C950" t="s">
        <v>861</v>
      </c>
      <c r="D950" t="s">
        <v>161</v>
      </c>
      <c r="E950" t="s">
        <v>40</v>
      </c>
      <c r="F950">
        <v>12</v>
      </c>
      <c r="G950" s="3">
        <v>0.2</v>
      </c>
      <c r="H950" t="s">
        <v>14</v>
      </c>
      <c r="I950" t="s">
        <v>27</v>
      </c>
      <c r="J950" t="s">
        <v>21</v>
      </c>
    </row>
    <row r="951" spans="1:10" x14ac:dyDescent="0.45">
      <c r="A951" t="s">
        <v>1451</v>
      </c>
      <c r="B951" s="2">
        <v>45942</v>
      </c>
      <c r="C951" t="s">
        <v>1095</v>
      </c>
      <c r="D951" t="s">
        <v>130</v>
      </c>
      <c r="E951" t="s">
        <v>144</v>
      </c>
      <c r="F951">
        <v>12</v>
      </c>
      <c r="G951" s="3">
        <v>0.03</v>
      </c>
      <c r="H951" t="s">
        <v>53</v>
      </c>
      <c r="I951" t="s">
        <v>15</v>
      </c>
      <c r="J951" t="s">
        <v>21</v>
      </c>
    </row>
    <row r="952" spans="1:10" x14ac:dyDescent="0.45">
      <c r="A952" t="s">
        <v>1452</v>
      </c>
      <c r="B952" s="2">
        <v>45781</v>
      </c>
      <c r="C952" t="s">
        <v>767</v>
      </c>
      <c r="D952" t="s">
        <v>121</v>
      </c>
      <c r="E952" t="s">
        <v>20</v>
      </c>
      <c r="F952">
        <v>9</v>
      </c>
      <c r="G952" s="3">
        <v>0.15</v>
      </c>
      <c r="H952" t="s">
        <v>53</v>
      </c>
      <c r="I952" t="s">
        <v>54</v>
      </c>
      <c r="J952" t="s">
        <v>21</v>
      </c>
    </row>
    <row r="953" spans="1:10" x14ac:dyDescent="0.45">
      <c r="A953" t="s">
        <v>1453</v>
      </c>
      <c r="B953" s="2">
        <v>46012</v>
      </c>
      <c r="C953" t="s">
        <v>638</v>
      </c>
      <c r="D953" t="s">
        <v>449</v>
      </c>
      <c r="E953" t="s">
        <v>40</v>
      </c>
      <c r="F953">
        <v>12</v>
      </c>
      <c r="G953" s="3">
        <v>0.15</v>
      </c>
      <c r="H953" t="s">
        <v>14</v>
      </c>
      <c r="I953" t="s">
        <v>54</v>
      </c>
      <c r="J953" t="s">
        <v>21</v>
      </c>
    </row>
    <row r="954" spans="1:10" x14ac:dyDescent="0.45">
      <c r="A954" t="s">
        <v>1454</v>
      </c>
      <c r="B954" s="2">
        <v>46110</v>
      </c>
      <c r="C954" t="s">
        <v>195</v>
      </c>
      <c r="D954" t="s">
        <v>110</v>
      </c>
      <c r="E954" t="s">
        <v>115</v>
      </c>
      <c r="F954">
        <v>6</v>
      </c>
      <c r="G954" s="3">
        <v>0.05</v>
      </c>
      <c r="H954" t="s">
        <v>14</v>
      </c>
      <c r="I954" t="s">
        <v>27</v>
      </c>
      <c r="J954" t="s">
        <v>21</v>
      </c>
    </row>
    <row r="955" spans="1:10" x14ac:dyDescent="0.45">
      <c r="A955" t="s">
        <v>1455</v>
      </c>
      <c r="B955" s="2">
        <v>45671</v>
      </c>
      <c r="C955" t="s">
        <v>983</v>
      </c>
      <c r="D955" t="s">
        <v>121</v>
      </c>
      <c r="E955" t="s">
        <v>140</v>
      </c>
      <c r="F955">
        <v>10</v>
      </c>
      <c r="G955" s="3">
        <v>0.08</v>
      </c>
      <c r="H955" t="s">
        <v>14</v>
      </c>
      <c r="I955" t="s">
        <v>27</v>
      </c>
      <c r="J955" t="s">
        <v>21</v>
      </c>
    </row>
    <row r="956" spans="1:10" x14ac:dyDescent="0.45">
      <c r="A956" t="s">
        <v>1456</v>
      </c>
      <c r="B956" s="2">
        <v>45917</v>
      </c>
      <c r="C956" t="s">
        <v>248</v>
      </c>
      <c r="D956" t="s">
        <v>348</v>
      </c>
      <c r="E956" t="s">
        <v>72</v>
      </c>
      <c r="F956">
        <v>5</v>
      </c>
      <c r="G956" s="3">
        <v>0</v>
      </c>
      <c r="H956" t="s">
        <v>26</v>
      </c>
      <c r="I956" t="s">
        <v>48</v>
      </c>
      <c r="J956" t="s">
        <v>36</v>
      </c>
    </row>
    <row r="957" spans="1:10" x14ac:dyDescent="0.45">
      <c r="A957" t="s">
        <v>1457</v>
      </c>
      <c r="B957" s="2">
        <v>46123</v>
      </c>
      <c r="C957" t="s">
        <v>412</v>
      </c>
      <c r="D957" t="s">
        <v>114</v>
      </c>
      <c r="E957" t="s">
        <v>25</v>
      </c>
      <c r="F957">
        <v>8</v>
      </c>
      <c r="G957" s="3">
        <v>0.03</v>
      </c>
      <c r="H957" t="s">
        <v>14</v>
      </c>
      <c r="I957" t="s">
        <v>48</v>
      </c>
      <c r="J957" t="s">
        <v>21</v>
      </c>
    </row>
    <row r="958" spans="1:10" x14ac:dyDescent="0.45">
      <c r="A958" t="s">
        <v>1458</v>
      </c>
      <c r="B958" s="2">
        <v>45814</v>
      </c>
      <c r="C958" t="s">
        <v>609</v>
      </c>
      <c r="D958" t="s">
        <v>34</v>
      </c>
      <c r="E958" t="s">
        <v>72</v>
      </c>
      <c r="F958">
        <v>12</v>
      </c>
      <c r="G958" s="3">
        <v>0.03</v>
      </c>
      <c r="H958" t="s">
        <v>53</v>
      </c>
      <c r="I958" t="s">
        <v>54</v>
      </c>
      <c r="J958" t="s">
        <v>21</v>
      </c>
    </row>
    <row r="959" spans="1:10" x14ac:dyDescent="0.45">
      <c r="A959" t="s">
        <v>1459</v>
      </c>
      <c r="B959" s="2">
        <v>45721</v>
      </c>
      <c r="C959" t="s">
        <v>595</v>
      </c>
      <c r="D959" t="s">
        <v>221</v>
      </c>
      <c r="E959" t="s">
        <v>85</v>
      </c>
      <c r="F959">
        <v>6</v>
      </c>
      <c r="G959" s="3">
        <v>0</v>
      </c>
      <c r="H959" t="s">
        <v>53</v>
      </c>
      <c r="I959" t="s">
        <v>27</v>
      </c>
      <c r="J959" t="s">
        <v>107</v>
      </c>
    </row>
    <row r="960" spans="1:10" x14ac:dyDescent="0.45">
      <c r="A960" t="s">
        <v>1460</v>
      </c>
      <c r="B960" s="2">
        <v>45675</v>
      </c>
      <c r="C960" t="s">
        <v>947</v>
      </c>
      <c r="D960" t="s">
        <v>34</v>
      </c>
      <c r="E960" t="s">
        <v>111</v>
      </c>
      <c r="F960">
        <v>6</v>
      </c>
      <c r="G960" s="3">
        <v>0.1</v>
      </c>
      <c r="H960" t="s">
        <v>53</v>
      </c>
      <c r="I960" t="s">
        <v>54</v>
      </c>
      <c r="J960" t="s">
        <v>36</v>
      </c>
    </row>
    <row r="961" spans="1:10" x14ac:dyDescent="0.45">
      <c r="A961" t="s">
        <v>1461</v>
      </c>
      <c r="B961" s="2">
        <v>45672</v>
      </c>
      <c r="C961" t="s">
        <v>672</v>
      </c>
      <c r="D961" t="s">
        <v>202</v>
      </c>
      <c r="E961" t="s">
        <v>140</v>
      </c>
      <c r="F961">
        <v>11</v>
      </c>
      <c r="G961" s="3">
        <v>0.15</v>
      </c>
      <c r="H961" t="s">
        <v>14</v>
      </c>
      <c r="I961" t="s">
        <v>48</v>
      </c>
      <c r="J961" t="s">
        <v>21</v>
      </c>
    </row>
    <row r="962" spans="1:10" x14ac:dyDescent="0.45">
      <c r="A962" t="s">
        <v>1462</v>
      </c>
      <c r="B962" s="2">
        <v>45931</v>
      </c>
      <c r="C962" t="s">
        <v>802</v>
      </c>
      <c r="D962" t="s">
        <v>233</v>
      </c>
      <c r="E962" t="s">
        <v>225</v>
      </c>
      <c r="F962">
        <v>2</v>
      </c>
      <c r="G962" s="3">
        <v>0.03</v>
      </c>
      <c r="H962" t="s">
        <v>14</v>
      </c>
      <c r="I962" t="s">
        <v>27</v>
      </c>
      <c r="J962" t="s">
        <v>21</v>
      </c>
    </row>
    <row r="963" spans="1:10" x14ac:dyDescent="0.45">
      <c r="A963" t="s">
        <v>1463</v>
      </c>
      <c r="B963" s="2">
        <v>45835</v>
      </c>
      <c r="C963" t="s">
        <v>29</v>
      </c>
      <c r="D963" t="s">
        <v>233</v>
      </c>
      <c r="E963" t="s">
        <v>13</v>
      </c>
      <c r="F963">
        <v>11</v>
      </c>
      <c r="G963" s="3">
        <v>0</v>
      </c>
      <c r="H963" t="s">
        <v>14</v>
      </c>
      <c r="I963" t="s">
        <v>27</v>
      </c>
      <c r="J963" t="s">
        <v>21</v>
      </c>
    </row>
    <row r="964" spans="1:10" x14ac:dyDescent="0.45">
      <c r="A964" t="s">
        <v>1464</v>
      </c>
      <c r="B964" s="2">
        <v>45746</v>
      </c>
      <c r="C964" t="s">
        <v>962</v>
      </c>
      <c r="D964" t="s">
        <v>196</v>
      </c>
      <c r="E964" t="s">
        <v>72</v>
      </c>
      <c r="F964">
        <v>10</v>
      </c>
      <c r="G964" s="3">
        <v>0.2</v>
      </c>
      <c r="H964" t="s">
        <v>14</v>
      </c>
      <c r="I964" t="s">
        <v>48</v>
      </c>
      <c r="J964" t="s">
        <v>21</v>
      </c>
    </row>
    <row r="965" spans="1:10" x14ac:dyDescent="0.45">
      <c r="A965" t="s">
        <v>1465</v>
      </c>
      <c r="B965" s="2">
        <v>45678</v>
      </c>
      <c r="C965" t="s">
        <v>833</v>
      </c>
      <c r="D965" t="s">
        <v>439</v>
      </c>
      <c r="E965" t="s">
        <v>281</v>
      </c>
      <c r="F965">
        <v>3</v>
      </c>
      <c r="G965" s="3">
        <v>0</v>
      </c>
      <c r="H965" t="s">
        <v>14</v>
      </c>
      <c r="I965" t="s">
        <v>27</v>
      </c>
      <c r="J965" t="s">
        <v>21</v>
      </c>
    </row>
    <row r="966" spans="1:10" x14ac:dyDescent="0.45">
      <c r="A966" t="s">
        <v>1466</v>
      </c>
      <c r="B966" s="2">
        <v>45853</v>
      </c>
      <c r="C966" t="s">
        <v>1467</v>
      </c>
      <c r="D966" t="s">
        <v>410</v>
      </c>
      <c r="E966" t="s">
        <v>101</v>
      </c>
      <c r="F966">
        <v>12</v>
      </c>
      <c r="G966" s="3">
        <v>0.03</v>
      </c>
      <c r="H966" t="s">
        <v>14</v>
      </c>
      <c r="I966" t="s">
        <v>15</v>
      </c>
      <c r="J966" t="s">
        <v>59</v>
      </c>
    </row>
    <row r="967" spans="1:10" x14ac:dyDescent="0.45">
      <c r="A967" t="s">
        <v>1468</v>
      </c>
      <c r="B967" s="2">
        <v>45981</v>
      </c>
      <c r="C967" t="s">
        <v>195</v>
      </c>
      <c r="D967" t="s">
        <v>205</v>
      </c>
      <c r="E967" t="s">
        <v>225</v>
      </c>
      <c r="F967">
        <v>7</v>
      </c>
      <c r="G967" s="3">
        <v>0.05</v>
      </c>
      <c r="H967" t="s">
        <v>53</v>
      </c>
      <c r="I967" t="s">
        <v>27</v>
      </c>
      <c r="J967" t="s">
        <v>36</v>
      </c>
    </row>
    <row r="968" spans="1:10" x14ac:dyDescent="0.45">
      <c r="A968" t="s">
        <v>1469</v>
      </c>
      <c r="B968" s="2">
        <v>46108</v>
      </c>
      <c r="C968" t="s">
        <v>582</v>
      </c>
      <c r="D968" t="s">
        <v>65</v>
      </c>
      <c r="E968" t="s">
        <v>152</v>
      </c>
      <c r="F968">
        <v>5</v>
      </c>
      <c r="G968" s="3">
        <v>0</v>
      </c>
      <c r="H968" t="s">
        <v>14</v>
      </c>
      <c r="I968" t="s">
        <v>27</v>
      </c>
      <c r="J968" t="s">
        <v>21</v>
      </c>
    </row>
    <row r="969" spans="1:10" x14ac:dyDescent="0.45">
      <c r="A969" t="s">
        <v>1470</v>
      </c>
      <c r="B969" s="2">
        <v>45832</v>
      </c>
      <c r="C969" t="s">
        <v>1471</v>
      </c>
      <c r="D969" t="s">
        <v>126</v>
      </c>
      <c r="E969" t="s">
        <v>85</v>
      </c>
      <c r="F969">
        <v>1</v>
      </c>
      <c r="G969" s="3">
        <v>0.15</v>
      </c>
      <c r="H969" t="s">
        <v>14</v>
      </c>
      <c r="I969" t="s">
        <v>54</v>
      </c>
      <c r="J969" t="s">
        <v>107</v>
      </c>
    </row>
    <row r="970" spans="1:10" x14ac:dyDescent="0.45">
      <c r="A970" t="s">
        <v>1472</v>
      </c>
      <c r="B970" s="2">
        <v>45953</v>
      </c>
      <c r="C970" t="s">
        <v>520</v>
      </c>
      <c r="D970" t="s">
        <v>170</v>
      </c>
      <c r="E970" t="s">
        <v>25</v>
      </c>
      <c r="F970">
        <v>4</v>
      </c>
      <c r="G970" s="3">
        <v>0.1</v>
      </c>
      <c r="H970" t="s">
        <v>53</v>
      </c>
      <c r="I970" t="s">
        <v>27</v>
      </c>
      <c r="J970" t="s">
        <v>21</v>
      </c>
    </row>
    <row r="971" spans="1:10" x14ac:dyDescent="0.45">
      <c r="A971" t="s">
        <v>1473</v>
      </c>
      <c r="B971" s="2">
        <v>45881</v>
      </c>
      <c r="C971" t="s">
        <v>499</v>
      </c>
      <c r="D971" t="s">
        <v>249</v>
      </c>
      <c r="E971" t="s">
        <v>152</v>
      </c>
      <c r="F971">
        <v>8</v>
      </c>
      <c r="G971" s="3">
        <v>0.08</v>
      </c>
      <c r="H971" t="s">
        <v>14</v>
      </c>
      <c r="I971" t="s">
        <v>48</v>
      </c>
      <c r="J971" t="s">
        <v>21</v>
      </c>
    </row>
    <row r="972" spans="1:10" x14ac:dyDescent="0.45">
      <c r="A972" t="s">
        <v>1474</v>
      </c>
      <c r="B972" s="2">
        <v>45801</v>
      </c>
      <c r="C972" t="s">
        <v>580</v>
      </c>
      <c r="D972" t="s">
        <v>439</v>
      </c>
      <c r="E972" t="s">
        <v>47</v>
      </c>
      <c r="F972">
        <v>8</v>
      </c>
      <c r="G972" s="3">
        <v>0.1</v>
      </c>
      <c r="H972" t="s">
        <v>14</v>
      </c>
      <c r="I972" t="s">
        <v>15</v>
      </c>
      <c r="J972" t="s">
        <v>21</v>
      </c>
    </row>
    <row r="973" spans="1:10" x14ac:dyDescent="0.45">
      <c r="A973" t="s">
        <v>1475</v>
      </c>
      <c r="B973" s="2">
        <v>45765</v>
      </c>
      <c r="C973" t="s">
        <v>1035</v>
      </c>
      <c r="D973" t="s">
        <v>135</v>
      </c>
      <c r="E973" t="s">
        <v>72</v>
      </c>
      <c r="F973">
        <v>11</v>
      </c>
      <c r="G973" s="3">
        <v>0.1</v>
      </c>
      <c r="H973" t="s">
        <v>53</v>
      </c>
      <c r="I973" t="s">
        <v>48</v>
      </c>
      <c r="J973" t="s">
        <v>21</v>
      </c>
    </row>
    <row r="974" spans="1:10" x14ac:dyDescent="0.45">
      <c r="A974" t="s">
        <v>1476</v>
      </c>
      <c r="B974" s="2">
        <v>45760</v>
      </c>
      <c r="C974" t="s">
        <v>559</v>
      </c>
      <c r="D974" t="s">
        <v>148</v>
      </c>
      <c r="E974" t="s">
        <v>281</v>
      </c>
      <c r="F974">
        <v>3</v>
      </c>
      <c r="G974" s="3">
        <v>0.1</v>
      </c>
      <c r="H974" t="s">
        <v>14</v>
      </c>
      <c r="I974" t="s">
        <v>15</v>
      </c>
      <c r="J974" t="s">
        <v>21</v>
      </c>
    </row>
    <row r="975" spans="1:10" x14ac:dyDescent="0.45">
      <c r="A975" t="s">
        <v>1477</v>
      </c>
      <c r="B975" s="2">
        <v>46125</v>
      </c>
      <c r="C975" t="s">
        <v>132</v>
      </c>
      <c r="D975" t="s">
        <v>217</v>
      </c>
      <c r="E975" t="s">
        <v>85</v>
      </c>
      <c r="F975">
        <v>10</v>
      </c>
      <c r="G975" s="3">
        <v>0.15</v>
      </c>
      <c r="H975" t="s">
        <v>53</v>
      </c>
      <c r="I975" t="s">
        <v>15</v>
      </c>
      <c r="J975" t="s">
        <v>16</v>
      </c>
    </row>
    <row r="976" spans="1:10" x14ac:dyDescent="0.45">
      <c r="A976" t="s">
        <v>1478</v>
      </c>
      <c r="B976" s="2">
        <v>46003</v>
      </c>
      <c r="C976" t="s">
        <v>172</v>
      </c>
      <c r="D976" t="s">
        <v>139</v>
      </c>
      <c r="E976" t="s">
        <v>82</v>
      </c>
      <c r="F976">
        <v>8</v>
      </c>
      <c r="G976" s="3">
        <v>0.15</v>
      </c>
      <c r="H976" t="s">
        <v>14</v>
      </c>
      <c r="I976" t="s">
        <v>54</v>
      </c>
      <c r="J976" t="s">
        <v>59</v>
      </c>
    </row>
    <row r="977" spans="1:10" x14ac:dyDescent="0.45">
      <c r="A977" t="s">
        <v>1479</v>
      </c>
      <c r="B977" s="2">
        <v>46094</v>
      </c>
      <c r="C977" t="s">
        <v>269</v>
      </c>
      <c r="D977" t="s">
        <v>12</v>
      </c>
      <c r="E977" t="s">
        <v>13</v>
      </c>
      <c r="F977">
        <v>5</v>
      </c>
      <c r="G977" s="3">
        <v>0.15</v>
      </c>
      <c r="H977" t="s">
        <v>14</v>
      </c>
      <c r="I977" t="s">
        <v>54</v>
      </c>
      <c r="J977" t="s">
        <v>21</v>
      </c>
    </row>
    <row r="978" spans="1:10" x14ac:dyDescent="0.45">
      <c r="A978" t="s">
        <v>1480</v>
      </c>
      <c r="B978" s="2">
        <v>46194</v>
      </c>
      <c r="C978" t="s">
        <v>679</v>
      </c>
      <c r="D978" t="s">
        <v>81</v>
      </c>
      <c r="E978" t="s">
        <v>72</v>
      </c>
      <c r="F978">
        <v>4</v>
      </c>
      <c r="G978" s="3">
        <v>0.03</v>
      </c>
      <c r="H978" t="s">
        <v>14</v>
      </c>
      <c r="I978" t="s">
        <v>27</v>
      </c>
      <c r="J978" t="s">
        <v>16</v>
      </c>
    </row>
    <row r="979" spans="1:10" x14ac:dyDescent="0.45">
      <c r="A979" t="s">
        <v>1481</v>
      </c>
      <c r="B979" s="2">
        <v>45802</v>
      </c>
      <c r="C979" t="s">
        <v>109</v>
      </c>
      <c r="D979" t="s">
        <v>46</v>
      </c>
      <c r="E979" t="s">
        <v>101</v>
      </c>
      <c r="F979">
        <v>6</v>
      </c>
      <c r="G979" s="3">
        <v>0.2</v>
      </c>
      <c r="H979" t="s">
        <v>14</v>
      </c>
      <c r="I979" t="s">
        <v>15</v>
      </c>
      <c r="J979" t="s">
        <v>21</v>
      </c>
    </row>
    <row r="980" spans="1:10" x14ac:dyDescent="0.45">
      <c r="A980" t="s">
        <v>1482</v>
      </c>
      <c r="B980" s="2">
        <v>45966</v>
      </c>
      <c r="C980" t="s">
        <v>220</v>
      </c>
      <c r="D980" t="s">
        <v>430</v>
      </c>
      <c r="E980" t="s">
        <v>144</v>
      </c>
      <c r="F980">
        <v>5</v>
      </c>
      <c r="G980" s="3">
        <v>0</v>
      </c>
      <c r="H980" t="s">
        <v>14</v>
      </c>
      <c r="I980" t="s">
        <v>54</v>
      </c>
      <c r="J980" t="s">
        <v>21</v>
      </c>
    </row>
    <row r="981" spans="1:10" x14ac:dyDescent="0.45">
      <c r="A981" t="s">
        <v>1483</v>
      </c>
      <c r="B981" s="2">
        <v>46041</v>
      </c>
      <c r="C981" t="s">
        <v>1467</v>
      </c>
      <c r="D981" t="s">
        <v>410</v>
      </c>
      <c r="E981" t="s">
        <v>225</v>
      </c>
      <c r="F981">
        <v>1</v>
      </c>
      <c r="G981" s="3">
        <v>0.2</v>
      </c>
      <c r="H981" t="s">
        <v>14</v>
      </c>
      <c r="I981" t="s">
        <v>48</v>
      </c>
      <c r="J981" t="s">
        <v>21</v>
      </c>
    </row>
    <row r="982" spans="1:10" x14ac:dyDescent="0.45">
      <c r="A982" t="s">
        <v>1484</v>
      </c>
      <c r="B982" s="2">
        <v>45875</v>
      </c>
      <c r="C982" t="s">
        <v>777</v>
      </c>
      <c r="D982" t="s">
        <v>318</v>
      </c>
      <c r="E982" t="s">
        <v>72</v>
      </c>
      <c r="F982">
        <v>8</v>
      </c>
      <c r="G982" s="3">
        <v>0.15</v>
      </c>
      <c r="H982" t="s">
        <v>53</v>
      </c>
      <c r="I982" t="s">
        <v>54</v>
      </c>
      <c r="J982" t="s">
        <v>59</v>
      </c>
    </row>
    <row r="983" spans="1:10" x14ac:dyDescent="0.45">
      <c r="A983" t="s">
        <v>1485</v>
      </c>
      <c r="B983" s="2">
        <v>45983</v>
      </c>
      <c r="C983" t="s">
        <v>1486</v>
      </c>
      <c r="D983" t="s">
        <v>456</v>
      </c>
      <c r="E983" t="s">
        <v>225</v>
      </c>
      <c r="F983">
        <v>3</v>
      </c>
      <c r="G983" s="3">
        <v>0.15</v>
      </c>
      <c r="H983" t="s">
        <v>53</v>
      </c>
      <c r="I983" t="s">
        <v>27</v>
      </c>
      <c r="J983" t="s">
        <v>16</v>
      </c>
    </row>
    <row r="984" spans="1:10" x14ac:dyDescent="0.45">
      <c r="A984" t="s">
        <v>1487</v>
      </c>
      <c r="B984" s="2">
        <v>46061</v>
      </c>
      <c r="C984" t="s">
        <v>471</v>
      </c>
      <c r="D984" t="s">
        <v>295</v>
      </c>
      <c r="E984" t="s">
        <v>82</v>
      </c>
      <c r="F984">
        <v>9</v>
      </c>
      <c r="G984" s="3">
        <v>0</v>
      </c>
      <c r="H984" t="s">
        <v>14</v>
      </c>
      <c r="I984" t="s">
        <v>48</v>
      </c>
      <c r="J984" t="s">
        <v>21</v>
      </c>
    </row>
    <row r="985" spans="1:10" x14ac:dyDescent="0.45">
      <c r="A985" t="s">
        <v>1488</v>
      </c>
      <c r="B985" s="2">
        <v>45898</v>
      </c>
      <c r="C985" t="s">
        <v>1489</v>
      </c>
      <c r="D985" t="s">
        <v>185</v>
      </c>
      <c r="E985" t="s">
        <v>40</v>
      </c>
      <c r="F985">
        <v>6</v>
      </c>
      <c r="G985" s="3">
        <v>0.1</v>
      </c>
      <c r="H985" t="s">
        <v>14</v>
      </c>
      <c r="I985" t="s">
        <v>48</v>
      </c>
      <c r="J985" t="s">
        <v>21</v>
      </c>
    </row>
    <row r="986" spans="1:10" x14ac:dyDescent="0.45">
      <c r="A986" t="s">
        <v>1490</v>
      </c>
      <c r="B986" s="2">
        <v>45893</v>
      </c>
      <c r="C986" t="s">
        <v>1491</v>
      </c>
      <c r="D986" t="s">
        <v>318</v>
      </c>
      <c r="E986" t="s">
        <v>127</v>
      </c>
      <c r="F986">
        <v>3</v>
      </c>
      <c r="G986" s="3">
        <v>0.2</v>
      </c>
      <c r="H986" t="s">
        <v>14</v>
      </c>
      <c r="I986" t="s">
        <v>54</v>
      </c>
      <c r="J986" t="s">
        <v>21</v>
      </c>
    </row>
    <row r="987" spans="1:10" x14ac:dyDescent="0.45">
      <c r="A987" t="s">
        <v>1492</v>
      </c>
      <c r="B987" s="2">
        <v>45842</v>
      </c>
      <c r="C987" t="s">
        <v>663</v>
      </c>
      <c r="D987" t="s">
        <v>57</v>
      </c>
      <c r="E987" t="s">
        <v>136</v>
      </c>
      <c r="F987">
        <v>7</v>
      </c>
      <c r="G987" s="3">
        <v>0.03</v>
      </c>
      <c r="H987" t="s">
        <v>14</v>
      </c>
      <c r="I987" t="s">
        <v>15</v>
      </c>
      <c r="J987" t="s">
        <v>59</v>
      </c>
    </row>
    <row r="988" spans="1:10" x14ac:dyDescent="0.45">
      <c r="A988" t="s">
        <v>1493</v>
      </c>
      <c r="B988" s="2">
        <v>46089</v>
      </c>
      <c r="C988" t="s">
        <v>326</v>
      </c>
      <c r="D988" t="s">
        <v>51</v>
      </c>
      <c r="E988" t="s">
        <v>152</v>
      </c>
      <c r="F988">
        <v>3</v>
      </c>
      <c r="G988" s="3">
        <v>0.03</v>
      </c>
      <c r="H988" t="s">
        <v>14</v>
      </c>
      <c r="I988" t="s">
        <v>48</v>
      </c>
      <c r="J988" t="s">
        <v>21</v>
      </c>
    </row>
    <row r="989" spans="1:10" x14ac:dyDescent="0.45">
      <c r="A989" t="s">
        <v>1494</v>
      </c>
      <c r="B989" s="2">
        <v>45761</v>
      </c>
      <c r="C989" t="s">
        <v>142</v>
      </c>
      <c r="D989" t="s">
        <v>170</v>
      </c>
      <c r="E989" t="s">
        <v>20</v>
      </c>
      <c r="F989">
        <v>11</v>
      </c>
      <c r="G989" s="3">
        <v>0.15</v>
      </c>
      <c r="H989" t="s">
        <v>53</v>
      </c>
      <c r="I989" t="s">
        <v>48</v>
      </c>
      <c r="J989" t="s">
        <v>21</v>
      </c>
    </row>
    <row r="990" spans="1:10" x14ac:dyDescent="0.45">
      <c r="A990" t="s">
        <v>1495</v>
      </c>
      <c r="B990" s="2">
        <v>46051</v>
      </c>
      <c r="C990" t="s">
        <v>800</v>
      </c>
      <c r="D990" t="s">
        <v>94</v>
      </c>
      <c r="E990" t="s">
        <v>140</v>
      </c>
      <c r="F990">
        <v>11</v>
      </c>
      <c r="G990" s="3">
        <v>0.2</v>
      </c>
      <c r="H990" t="s">
        <v>14</v>
      </c>
      <c r="I990" t="s">
        <v>15</v>
      </c>
      <c r="J990" t="s">
        <v>21</v>
      </c>
    </row>
    <row r="991" spans="1:10" x14ac:dyDescent="0.45">
      <c r="A991" t="s">
        <v>1496</v>
      </c>
      <c r="B991" s="2">
        <v>45922</v>
      </c>
      <c r="C991" t="s">
        <v>109</v>
      </c>
      <c r="D991" t="s">
        <v>391</v>
      </c>
      <c r="E991" t="s">
        <v>13</v>
      </c>
      <c r="F991">
        <v>12</v>
      </c>
      <c r="G991" s="3">
        <v>0</v>
      </c>
      <c r="H991" t="s">
        <v>53</v>
      </c>
      <c r="I991" t="s">
        <v>15</v>
      </c>
      <c r="J991" t="s">
        <v>21</v>
      </c>
    </row>
    <row r="992" spans="1:10" x14ac:dyDescent="0.45">
      <c r="A992" t="s">
        <v>1497</v>
      </c>
      <c r="B992" s="2">
        <v>46001</v>
      </c>
      <c r="C992" t="s">
        <v>771</v>
      </c>
      <c r="D992" t="s">
        <v>280</v>
      </c>
      <c r="E992" t="s">
        <v>72</v>
      </c>
      <c r="F992">
        <v>9</v>
      </c>
      <c r="G992" s="3">
        <v>0.1</v>
      </c>
      <c r="H992" t="s">
        <v>14</v>
      </c>
      <c r="I992" t="s">
        <v>54</v>
      </c>
      <c r="J992" t="s">
        <v>107</v>
      </c>
    </row>
    <row r="993" spans="1:10" x14ac:dyDescent="0.45">
      <c r="A993" t="s">
        <v>1498</v>
      </c>
      <c r="B993" s="2">
        <v>45739</v>
      </c>
      <c r="C993" t="s">
        <v>232</v>
      </c>
      <c r="D993" t="s">
        <v>456</v>
      </c>
      <c r="E993" t="s">
        <v>20</v>
      </c>
      <c r="F993">
        <v>3</v>
      </c>
      <c r="G993" s="3">
        <v>0</v>
      </c>
      <c r="H993" t="s">
        <v>14</v>
      </c>
      <c r="I993" t="s">
        <v>27</v>
      </c>
      <c r="J993" t="s">
        <v>21</v>
      </c>
    </row>
    <row r="994" spans="1:10" x14ac:dyDescent="0.45">
      <c r="A994" t="s">
        <v>1499</v>
      </c>
      <c r="B994" s="2">
        <v>46123</v>
      </c>
      <c r="C994" t="s">
        <v>1319</v>
      </c>
      <c r="D994" t="s">
        <v>34</v>
      </c>
      <c r="E994" t="s">
        <v>111</v>
      </c>
      <c r="F994">
        <v>7</v>
      </c>
      <c r="G994" s="3">
        <v>0</v>
      </c>
      <c r="H994" t="s">
        <v>14</v>
      </c>
      <c r="I994" t="s">
        <v>48</v>
      </c>
      <c r="J994" t="s">
        <v>21</v>
      </c>
    </row>
    <row r="995" spans="1:10" x14ac:dyDescent="0.45">
      <c r="A995" t="s">
        <v>1500</v>
      </c>
      <c r="B995" s="2">
        <v>45709</v>
      </c>
      <c r="C995" t="s">
        <v>589</v>
      </c>
      <c r="D995" t="s">
        <v>75</v>
      </c>
      <c r="E995" t="s">
        <v>58</v>
      </c>
      <c r="F995">
        <v>10</v>
      </c>
      <c r="G995" s="3">
        <v>0.1</v>
      </c>
      <c r="H995" t="s">
        <v>14</v>
      </c>
      <c r="I995" t="s">
        <v>27</v>
      </c>
      <c r="J995" t="s">
        <v>59</v>
      </c>
    </row>
    <row r="996" spans="1:10" x14ac:dyDescent="0.45">
      <c r="A996" t="s">
        <v>1501</v>
      </c>
      <c r="B996" s="2">
        <v>45931</v>
      </c>
      <c r="C996" t="s">
        <v>377</v>
      </c>
      <c r="D996" t="s">
        <v>19</v>
      </c>
      <c r="E996" t="s">
        <v>52</v>
      </c>
      <c r="F996">
        <v>3</v>
      </c>
      <c r="G996" s="3">
        <v>0.08</v>
      </c>
      <c r="H996" t="s">
        <v>14</v>
      </c>
      <c r="I996" t="s">
        <v>48</v>
      </c>
      <c r="J996" t="s">
        <v>21</v>
      </c>
    </row>
    <row r="997" spans="1:10" x14ac:dyDescent="0.45">
      <c r="A997" t="s">
        <v>1502</v>
      </c>
      <c r="B997" s="2">
        <v>45772</v>
      </c>
      <c r="C997" t="s">
        <v>757</v>
      </c>
      <c r="D997" t="s">
        <v>51</v>
      </c>
      <c r="E997" t="s">
        <v>82</v>
      </c>
      <c r="F997">
        <v>6</v>
      </c>
      <c r="G997" s="3">
        <v>0</v>
      </c>
      <c r="H997" t="s">
        <v>14</v>
      </c>
      <c r="I997" t="s">
        <v>15</v>
      </c>
      <c r="J997" t="s">
        <v>21</v>
      </c>
    </row>
    <row r="998" spans="1:10" x14ac:dyDescent="0.45">
      <c r="A998" t="s">
        <v>1503</v>
      </c>
      <c r="B998" s="2">
        <v>45787</v>
      </c>
      <c r="C998" t="s">
        <v>927</v>
      </c>
      <c r="D998" t="s">
        <v>272</v>
      </c>
      <c r="E998" t="s">
        <v>31</v>
      </c>
      <c r="F998">
        <v>12</v>
      </c>
      <c r="G998" s="3">
        <v>0.03</v>
      </c>
      <c r="H998" t="s">
        <v>53</v>
      </c>
      <c r="I998" t="s">
        <v>15</v>
      </c>
      <c r="J998" t="s">
        <v>36</v>
      </c>
    </row>
    <row r="999" spans="1:10" x14ac:dyDescent="0.45">
      <c r="A999" t="s">
        <v>1504</v>
      </c>
      <c r="B999" s="2">
        <v>45907</v>
      </c>
      <c r="C999" t="s">
        <v>209</v>
      </c>
      <c r="D999" t="s">
        <v>75</v>
      </c>
      <c r="E999" t="s">
        <v>72</v>
      </c>
      <c r="F999">
        <v>12</v>
      </c>
      <c r="G999" s="3">
        <v>0.2</v>
      </c>
      <c r="H999" t="s">
        <v>14</v>
      </c>
      <c r="I999" t="s">
        <v>27</v>
      </c>
      <c r="J999" t="s">
        <v>21</v>
      </c>
    </row>
    <row r="1000" spans="1:10" x14ac:dyDescent="0.45">
      <c r="A1000" t="s">
        <v>1505</v>
      </c>
      <c r="B1000" s="2">
        <v>45761</v>
      </c>
      <c r="C1000" t="s">
        <v>220</v>
      </c>
      <c r="D1000" t="s">
        <v>114</v>
      </c>
      <c r="E1000" t="s">
        <v>111</v>
      </c>
      <c r="F1000">
        <v>7</v>
      </c>
      <c r="G1000" s="3">
        <v>0</v>
      </c>
      <c r="H1000" t="s">
        <v>14</v>
      </c>
      <c r="I1000" t="s">
        <v>27</v>
      </c>
      <c r="J1000" t="s">
        <v>21</v>
      </c>
    </row>
    <row r="1001" spans="1:10" x14ac:dyDescent="0.45">
      <c r="A1001" t="s">
        <v>1506</v>
      </c>
      <c r="B1001" s="2">
        <v>45921</v>
      </c>
      <c r="C1001" t="s">
        <v>781</v>
      </c>
      <c r="D1001" t="s">
        <v>439</v>
      </c>
      <c r="E1001" t="s">
        <v>111</v>
      </c>
      <c r="F1001">
        <v>12</v>
      </c>
      <c r="G1001" s="3">
        <v>0</v>
      </c>
      <c r="H1001" t="s">
        <v>53</v>
      </c>
      <c r="I1001" t="s">
        <v>15</v>
      </c>
      <c r="J1001" t="s">
        <v>107</v>
      </c>
    </row>
    <row r="1002" spans="1:10" x14ac:dyDescent="0.45">
      <c r="A1002" t="s">
        <v>1507</v>
      </c>
      <c r="B1002" s="2">
        <v>45925</v>
      </c>
      <c r="C1002" t="s">
        <v>591</v>
      </c>
      <c r="D1002" t="s">
        <v>71</v>
      </c>
      <c r="E1002" t="s">
        <v>197</v>
      </c>
      <c r="F1002">
        <v>5</v>
      </c>
      <c r="G1002" s="3">
        <v>0.05</v>
      </c>
      <c r="H1002" t="s">
        <v>53</v>
      </c>
      <c r="I1002" t="s">
        <v>48</v>
      </c>
      <c r="J1002" t="s">
        <v>21</v>
      </c>
    </row>
    <row r="1003" spans="1:10" x14ac:dyDescent="0.45">
      <c r="A1003" t="s">
        <v>1508</v>
      </c>
      <c r="B1003" s="2">
        <v>46105</v>
      </c>
      <c r="C1003" t="s">
        <v>1175</v>
      </c>
      <c r="D1003" t="s">
        <v>130</v>
      </c>
      <c r="E1003" t="s">
        <v>40</v>
      </c>
      <c r="F1003">
        <v>5</v>
      </c>
      <c r="G1003" s="3">
        <v>0.03</v>
      </c>
      <c r="H1003" t="s">
        <v>14</v>
      </c>
      <c r="I1003" t="s">
        <v>48</v>
      </c>
      <c r="J1003" t="s">
        <v>21</v>
      </c>
    </row>
    <row r="1004" spans="1:10" x14ac:dyDescent="0.45">
      <c r="A1004" t="s">
        <v>1509</v>
      </c>
      <c r="B1004" s="2">
        <v>45663</v>
      </c>
      <c r="C1004" t="s">
        <v>297</v>
      </c>
      <c r="D1004" t="s">
        <v>106</v>
      </c>
      <c r="E1004" t="s">
        <v>152</v>
      </c>
      <c r="F1004">
        <v>7</v>
      </c>
      <c r="G1004" s="3">
        <v>0.05</v>
      </c>
      <c r="H1004" t="s">
        <v>14</v>
      </c>
      <c r="I1004" t="s">
        <v>15</v>
      </c>
      <c r="J1004" t="s">
        <v>21</v>
      </c>
    </row>
    <row r="1005" spans="1:10" x14ac:dyDescent="0.45">
      <c r="A1005" t="s">
        <v>1510</v>
      </c>
      <c r="B1005" s="2">
        <v>45983</v>
      </c>
      <c r="C1005" t="s">
        <v>469</v>
      </c>
      <c r="D1005" t="s">
        <v>312</v>
      </c>
      <c r="E1005" t="s">
        <v>85</v>
      </c>
      <c r="F1005">
        <v>2</v>
      </c>
      <c r="G1005" s="3">
        <v>0.05</v>
      </c>
      <c r="H1005" t="s">
        <v>14</v>
      </c>
      <c r="I1005" t="s">
        <v>27</v>
      </c>
      <c r="J1005" t="s">
        <v>21</v>
      </c>
    </row>
    <row r="1006" spans="1:10" x14ac:dyDescent="0.45">
      <c r="A1006" t="s">
        <v>1511</v>
      </c>
      <c r="B1006" s="2">
        <v>46129</v>
      </c>
      <c r="C1006" t="s">
        <v>18</v>
      </c>
      <c r="D1006" t="s">
        <v>106</v>
      </c>
      <c r="E1006" t="s">
        <v>111</v>
      </c>
      <c r="F1006">
        <v>10</v>
      </c>
      <c r="G1006" s="3">
        <v>0.15</v>
      </c>
      <c r="H1006" t="s">
        <v>53</v>
      </c>
      <c r="I1006" t="s">
        <v>27</v>
      </c>
      <c r="J1006" t="s">
        <v>21</v>
      </c>
    </row>
    <row r="1007" spans="1:10" x14ac:dyDescent="0.45">
      <c r="A1007" t="s">
        <v>1512</v>
      </c>
      <c r="B1007" s="2">
        <v>46009</v>
      </c>
      <c r="C1007" t="s">
        <v>559</v>
      </c>
      <c r="D1007" t="s">
        <v>502</v>
      </c>
      <c r="E1007" t="s">
        <v>97</v>
      </c>
      <c r="F1007">
        <v>6</v>
      </c>
      <c r="G1007" s="3">
        <v>0.1</v>
      </c>
      <c r="H1007" t="s">
        <v>14</v>
      </c>
      <c r="I1007" t="s">
        <v>15</v>
      </c>
      <c r="J1007" t="s">
        <v>21</v>
      </c>
    </row>
    <row r="1008" spans="1:10" x14ac:dyDescent="0.45">
      <c r="A1008" t="s">
        <v>1513</v>
      </c>
      <c r="B1008" s="2">
        <v>46203</v>
      </c>
      <c r="C1008" t="s">
        <v>315</v>
      </c>
      <c r="D1008" t="s">
        <v>365</v>
      </c>
      <c r="E1008" t="s">
        <v>115</v>
      </c>
      <c r="F1008">
        <v>12</v>
      </c>
      <c r="G1008" s="3">
        <v>0.03</v>
      </c>
      <c r="H1008" t="s">
        <v>53</v>
      </c>
      <c r="I1008" t="s">
        <v>27</v>
      </c>
      <c r="J1008" t="s">
        <v>21</v>
      </c>
    </row>
    <row r="1009" spans="1:10" x14ac:dyDescent="0.45">
      <c r="A1009" t="s">
        <v>1514</v>
      </c>
      <c r="B1009" s="2">
        <v>46156</v>
      </c>
      <c r="C1009" t="s">
        <v>1359</v>
      </c>
      <c r="D1009" t="s">
        <v>94</v>
      </c>
      <c r="E1009" t="s">
        <v>127</v>
      </c>
      <c r="F1009">
        <v>9</v>
      </c>
      <c r="G1009" s="3">
        <v>0.1</v>
      </c>
      <c r="H1009" t="s">
        <v>14</v>
      </c>
      <c r="I1009" t="s">
        <v>27</v>
      </c>
      <c r="J1009" t="s">
        <v>21</v>
      </c>
    </row>
    <row r="1010" spans="1:10" x14ac:dyDescent="0.45">
      <c r="A1010" t="s">
        <v>1515</v>
      </c>
      <c r="B1010" s="2">
        <v>46136</v>
      </c>
      <c r="C1010" t="s">
        <v>1491</v>
      </c>
      <c r="D1010" t="s">
        <v>88</v>
      </c>
      <c r="E1010" t="s">
        <v>85</v>
      </c>
      <c r="F1010">
        <v>1</v>
      </c>
      <c r="G1010" s="3">
        <v>0.03</v>
      </c>
      <c r="H1010" t="s">
        <v>53</v>
      </c>
      <c r="I1010" t="s">
        <v>54</v>
      </c>
      <c r="J1010" t="s">
        <v>21</v>
      </c>
    </row>
    <row r="1011" spans="1:10" x14ac:dyDescent="0.45">
      <c r="A1011" t="s">
        <v>1516</v>
      </c>
      <c r="B1011" s="2">
        <v>45681</v>
      </c>
      <c r="C1011" t="s">
        <v>432</v>
      </c>
      <c r="D1011" t="s">
        <v>235</v>
      </c>
      <c r="E1011" t="s">
        <v>13</v>
      </c>
      <c r="F1011">
        <v>5</v>
      </c>
      <c r="G1011" s="3">
        <v>0.2</v>
      </c>
      <c r="H1011" t="s">
        <v>26</v>
      </c>
      <c r="I1011" t="s">
        <v>15</v>
      </c>
      <c r="J1011" t="s">
        <v>36</v>
      </c>
    </row>
    <row r="1012" spans="1:10" x14ac:dyDescent="0.45">
      <c r="A1012" t="s">
        <v>1517</v>
      </c>
      <c r="B1012" s="2">
        <v>45784</v>
      </c>
      <c r="C1012" t="s">
        <v>1518</v>
      </c>
      <c r="D1012" t="s">
        <v>161</v>
      </c>
      <c r="E1012" t="s">
        <v>82</v>
      </c>
      <c r="F1012">
        <v>2</v>
      </c>
      <c r="G1012" s="3">
        <v>0.15</v>
      </c>
      <c r="H1012" t="s">
        <v>14</v>
      </c>
      <c r="I1012" t="s">
        <v>48</v>
      </c>
      <c r="J1012" t="s">
        <v>21</v>
      </c>
    </row>
    <row r="1013" spans="1:10" x14ac:dyDescent="0.45">
      <c r="A1013" t="s">
        <v>1519</v>
      </c>
      <c r="B1013" s="2">
        <v>46068</v>
      </c>
      <c r="C1013" t="s">
        <v>195</v>
      </c>
      <c r="D1013" t="s">
        <v>100</v>
      </c>
      <c r="E1013" t="s">
        <v>40</v>
      </c>
      <c r="F1013">
        <v>9</v>
      </c>
      <c r="G1013" s="3">
        <v>0.15</v>
      </c>
      <c r="H1013" t="s">
        <v>14</v>
      </c>
      <c r="I1013" t="s">
        <v>54</v>
      </c>
      <c r="J1013" t="s">
        <v>21</v>
      </c>
    </row>
    <row r="1014" spans="1:10" x14ac:dyDescent="0.45">
      <c r="A1014" t="s">
        <v>1520</v>
      </c>
      <c r="B1014" s="2">
        <v>46029</v>
      </c>
      <c r="C1014" t="s">
        <v>687</v>
      </c>
      <c r="D1014" t="s">
        <v>205</v>
      </c>
      <c r="E1014" t="s">
        <v>281</v>
      </c>
      <c r="F1014">
        <v>11</v>
      </c>
      <c r="G1014" s="3">
        <v>0</v>
      </c>
      <c r="H1014" t="s">
        <v>53</v>
      </c>
      <c r="I1014" t="s">
        <v>27</v>
      </c>
      <c r="J1014" t="s">
        <v>21</v>
      </c>
    </row>
    <row r="1015" spans="1:10" x14ac:dyDescent="0.45">
      <c r="A1015" t="s">
        <v>1521</v>
      </c>
      <c r="B1015" s="2">
        <v>46071</v>
      </c>
      <c r="C1015" t="s">
        <v>232</v>
      </c>
      <c r="D1015" t="s">
        <v>318</v>
      </c>
      <c r="E1015" t="s">
        <v>218</v>
      </c>
      <c r="F1015">
        <v>8</v>
      </c>
      <c r="G1015" s="3">
        <v>0.2</v>
      </c>
      <c r="H1015" t="s">
        <v>14</v>
      </c>
      <c r="I1015" t="s">
        <v>15</v>
      </c>
      <c r="J1015" t="s">
        <v>21</v>
      </c>
    </row>
    <row r="1016" spans="1:10" x14ac:dyDescent="0.45">
      <c r="A1016" t="s">
        <v>1522</v>
      </c>
      <c r="B1016" s="2">
        <v>45661</v>
      </c>
      <c r="C1016" t="s">
        <v>582</v>
      </c>
      <c r="D1016" t="s">
        <v>380</v>
      </c>
      <c r="E1016" t="s">
        <v>101</v>
      </c>
      <c r="F1016">
        <v>9</v>
      </c>
      <c r="G1016" s="3">
        <v>0.1</v>
      </c>
      <c r="H1016" t="s">
        <v>53</v>
      </c>
      <c r="I1016" t="s">
        <v>54</v>
      </c>
      <c r="J1016" t="s">
        <v>59</v>
      </c>
    </row>
    <row r="1017" spans="1:10" x14ac:dyDescent="0.45">
      <c r="A1017" t="s">
        <v>1523</v>
      </c>
      <c r="B1017" s="2">
        <v>46086</v>
      </c>
      <c r="C1017" t="s">
        <v>855</v>
      </c>
      <c r="D1017" t="s">
        <v>456</v>
      </c>
      <c r="E1017" t="s">
        <v>197</v>
      </c>
      <c r="F1017">
        <v>7</v>
      </c>
      <c r="G1017" s="3">
        <v>0.15</v>
      </c>
      <c r="H1017" t="s">
        <v>14</v>
      </c>
      <c r="I1017" t="s">
        <v>48</v>
      </c>
      <c r="J1017" t="s">
        <v>21</v>
      </c>
    </row>
    <row r="1018" spans="1:10" x14ac:dyDescent="0.45">
      <c r="A1018" t="s">
        <v>1524</v>
      </c>
      <c r="B1018" s="2">
        <v>46173</v>
      </c>
      <c r="C1018" t="s">
        <v>1525</v>
      </c>
      <c r="D1018" t="s">
        <v>34</v>
      </c>
      <c r="E1018" t="s">
        <v>82</v>
      </c>
      <c r="F1018">
        <v>2</v>
      </c>
      <c r="G1018" s="3">
        <v>0.15</v>
      </c>
      <c r="H1018" t="s">
        <v>26</v>
      </c>
      <c r="I1018" t="s">
        <v>27</v>
      </c>
      <c r="J1018" t="s">
        <v>21</v>
      </c>
    </row>
    <row r="1019" spans="1:10" x14ac:dyDescent="0.45">
      <c r="A1019" t="s">
        <v>1526</v>
      </c>
      <c r="B1019" s="2">
        <v>46141</v>
      </c>
      <c r="C1019" t="s">
        <v>1527</v>
      </c>
      <c r="D1019" t="s">
        <v>196</v>
      </c>
      <c r="E1019" t="s">
        <v>25</v>
      </c>
      <c r="F1019">
        <v>11</v>
      </c>
      <c r="G1019" s="3">
        <v>0</v>
      </c>
      <c r="H1019" t="s">
        <v>26</v>
      </c>
      <c r="I1019" t="s">
        <v>48</v>
      </c>
      <c r="J1019" t="s">
        <v>59</v>
      </c>
    </row>
    <row r="1020" spans="1:10" x14ac:dyDescent="0.45">
      <c r="A1020" t="s">
        <v>1528</v>
      </c>
      <c r="B1020" s="2">
        <v>46181</v>
      </c>
      <c r="C1020" t="s">
        <v>416</v>
      </c>
      <c r="D1020" t="s">
        <v>456</v>
      </c>
      <c r="E1020" t="s">
        <v>52</v>
      </c>
      <c r="F1020">
        <v>4</v>
      </c>
      <c r="G1020" s="3">
        <v>0.03</v>
      </c>
      <c r="H1020" t="s">
        <v>14</v>
      </c>
      <c r="I1020" t="s">
        <v>54</v>
      </c>
      <c r="J1020" t="s">
        <v>21</v>
      </c>
    </row>
    <row r="1021" spans="1:10" x14ac:dyDescent="0.45">
      <c r="A1021" t="s">
        <v>1529</v>
      </c>
      <c r="B1021" s="2">
        <v>45793</v>
      </c>
      <c r="C1021" t="s">
        <v>422</v>
      </c>
      <c r="D1021" t="s">
        <v>430</v>
      </c>
      <c r="E1021" t="s">
        <v>281</v>
      </c>
      <c r="F1021">
        <v>5</v>
      </c>
      <c r="G1021" s="3">
        <v>0</v>
      </c>
      <c r="H1021" t="s">
        <v>53</v>
      </c>
      <c r="I1021" t="s">
        <v>54</v>
      </c>
      <c r="J1021" t="s">
        <v>21</v>
      </c>
    </row>
    <row r="1022" spans="1:10" x14ac:dyDescent="0.45">
      <c r="A1022" t="s">
        <v>1530</v>
      </c>
      <c r="B1022" s="2">
        <v>46112</v>
      </c>
      <c r="C1022" t="s">
        <v>291</v>
      </c>
      <c r="D1022" t="s">
        <v>410</v>
      </c>
      <c r="E1022" t="s">
        <v>20</v>
      </c>
      <c r="F1022">
        <v>4</v>
      </c>
      <c r="G1022" s="3">
        <v>0.03</v>
      </c>
      <c r="H1022" t="s">
        <v>26</v>
      </c>
      <c r="I1022" t="s">
        <v>48</v>
      </c>
      <c r="J1022" t="s">
        <v>16</v>
      </c>
    </row>
    <row r="1023" spans="1:10" x14ac:dyDescent="0.45">
      <c r="A1023" t="s">
        <v>1531</v>
      </c>
      <c r="B1023" s="2">
        <v>46131</v>
      </c>
      <c r="C1023" t="s">
        <v>1441</v>
      </c>
      <c r="D1023" t="s">
        <v>100</v>
      </c>
      <c r="E1023" t="s">
        <v>218</v>
      </c>
      <c r="F1023">
        <v>12</v>
      </c>
      <c r="G1023" s="3">
        <v>0</v>
      </c>
      <c r="H1023" t="s">
        <v>14</v>
      </c>
      <c r="I1023" t="s">
        <v>48</v>
      </c>
      <c r="J1023" t="s">
        <v>59</v>
      </c>
    </row>
    <row r="1024" spans="1:10" x14ac:dyDescent="0.45">
      <c r="A1024" t="s">
        <v>1532</v>
      </c>
      <c r="B1024" s="2">
        <v>46052</v>
      </c>
      <c r="C1024" t="s">
        <v>714</v>
      </c>
      <c r="D1024" t="s">
        <v>126</v>
      </c>
      <c r="E1024" t="s">
        <v>47</v>
      </c>
      <c r="F1024">
        <v>2</v>
      </c>
      <c r="G1024" s="3">
        <v>0.15</v>
      </c>
      <c r="H1024" t="s">
        <v>26</v>
      </c>
      <c r="I1024" t="s">
        <v>48</v>
      </c>
      <c r="J1024" t="s">
        <v>59</v>
      </c>
    </row>
    <row r="1025" spans="1:10" x14ac:dyDescent="0.45">
      <c r="A1025" t="s">
        <v>1533</v>
      </c>
      <c r="B1025" s="2">
        <v>45682</v>
      </c>
      <c r="C1025" t="s">
        <v>795</v>
      </c>
      <c r="D1025" t="s">
        <v>272</v>
      </c>
      <c r="E1025" t="s">
        <v>72</v>
      </c>
      <c r="F1025">
        <v>8</v>
      </c>
      <c r="G1025" s="3">
        <v>0.2</v>
      </c>
      <c r="H1025" t="s">
        <v>53</v>
      </c>
      <c r="I1025" t="s">
        <v>48</v>
      </c>
      <c r="J1025" t="s">
        <v>21</v>
      </c>
    </row>
    <row r="1026" spans="1:10" x14ac:dyDescent="0.45">
      <c r="A1026" t="s">
        <v>1534</v>
      </c>
      <c r="B1026" s="2">
        <v>46067</v>
      </c>
      <c r="C1026" t="s">
        <v>248</v>
      </c>
      <c r="D1026" t="s">
        <v>348</v>
      </c>
      <c r="E1026" t="s">
        <v>58</v>
      </c>
      <c r="F1026">
        <v>12</v>
      </c>
      <c r="G1026" s="3">
        <v>0.2</v>
      </c>
      <c r="H1026" t="s">
        <v>14</v>
      </c>
      <c r="I1026" t="s">
        <v>48</v>
      </c>
      <c r="J1026" t="s">
        <v>21</v>
      </c>
    </row>
    <row r="1027" spans="1:10" x14ac:dyDescent="0.45">
      <c r="A1027" t="s">
        <v>1535</v>
      </c>
      <c r="B1027" s="2">
        <v>45772</v>
      </c>
      <c r="C1027" t="s">
        <v>790</v>
      </c>
      <c r="D1027" t="s">
        <v>78</v>
      </c>
      <c r="E1027" t="s">
        <v>40</v>
      </c>
      <c r="F1027">
        <v>12</v>
      </c>
      <c r="G1027" s="3">
        <v>0.03</v>
      </c>
      <c r="H1027" t="s">
        <v>14</v>
      </c>
      <c r="I1027" t="s">
        <v>27</v>
      </c>
      <c r="J1027" t="s">
        <v>21</v>
      </c>
    </row>
    <row r="1028" spans="1:10" x14ac:dyDescent="0.45">
      <c r="A1028" t="s">
        <v>1536</v>
      </c>
      <c r="B1028" s="2">
        <v>45928</v>
      </c>
      <c r="C1028" t="s">
        <v>518</v>
      </c>
      <c r="D1028" t="s">
        <v>238</v>
      </c>
      <c r="E1028" t="s">
        <v>115</v>
      </c>
      <c r="F1028">
        <v>2</v>
      </c>
      <c r="G1028" s="3">
        <v>0.1</v>
      </c>
      <c r="H1028" t="s">
        <v>53</v>
      </c>
      <c r="I1028" t="s">
        <v>48</v>
      </c>
      <c r="J1028" t="s">
        <v>21</v>
      </c>
    </row>
    <row r="1029" spans="1:10" x14ac:dyDescent="0.45">
      <c r="A1029" t="s">
        <v>1537</v>
      </c>
      <c r="B1029" s="2">
        <v>45908</v>
      </c>
      <c r="C1029" t="s">
        <v>420</v>
      </c>
      <c r="D1029" t="s">
        <v>210</v>
      </c>
      <c r="E1029" t="s">
        <v>40</v>
      </c>
      <c r="F1029">
        <v>5</v>
      </c>
      <c r="G1029" s="3">
        <v>0.1</v>
      </c>
      <c r="H1029" t="s">
        <v>14</v>
      </c>
      <c r="I1029" t="s">
        <v>15</v>
      </c>
      <c r="J1029" t="s">
        <v>21</v>
      </c>
    </row>
    <row r="1030" spans="1:10" x14ac:dyDescent="0.45">
      <c r="A1030" t="s">
        <v>1538</v>
      </c>
      <c r="B1030" s="2">
        <v>45939</v>
      </c>
      <c r="C1030" t="s">
        <v>74</v>
      </c>
      <c r="D1030" t="s">
        <v>24</v>
      </c>
      <c r="E1030" t="s">
        <v>197</v>
      </c>
      <c r="F1030">
        <v>10</v>
      </c>
      <c r="G1030" s="3">
        <v>0</v>
      </c>
      <c r="H1030" t="s">
        <v>53</v>
      </c>
      <c r="I1030" t="s">
        <v>54</v>
      </c>
      <c r="J1030" t="s">
        <v>21</v>
      </c>
    </row>
    <row r="1031" spans="1:10" x14ac:dyDescent="0.45">
      <c r="A1031" t="s">
        <v>1539</v>
      </c>
      <c r="B1031" s="2">
        <v>46029</v>
      </c>
      <c r="C1031" t="s">
        <v>317</v>
      </c>
      <c r="D1031" t="s">
        <v>614</v>
      </c>
      <c r="E1031" t="s">
        <v>58</v>
      </c>
      <c r="F1031">
        <v>12</v>
      </c>
      <c r="G1031" s="3">
        <v>0.08</v>
      </c>
      <c r="H1031" t="s">
        <v>14</v>
      </c>
      <c r="I1031" t="s">
        <v>54</v>
      </c>
      <c r="J1031" t="s">
        <v>21</v>
      </c>
    </row>
    <row r="1032" spans="1:10" x14ac:dyDescent="0.45">
      <c r="A1032" t="s">
        <v>1540</v>
      </c>
      <c r="B1032" s="2">
        <v>46108</v>
      </c>
      <c r="C1032" t="s">
        <v>651</v>
      </c>
      <c r="D1032" t="s">
        <v>280</v>
      </c>
      <c r="E1032" t="s">
        <v>72</v>
      </c>
      <c r="F1032">
        <v>11</v>
      </c>
      <c r="G1032" s="3">
        <v>0.08</v>
      </c>
      <c r="H1032" t="s">
        <v>14</v>
      </c>
      <c r="I1032" t="s">
        <v>54</v>
      </c>
      <c r="J1032" t="s">
        <v>21</v>
      </c>
    </row>
    <row r="1033" spans="1:10" x14ac:dyDescent="0.45">
      <c r="A1033" t="s">
        <v>1541</v>
      </c>
      <c r="B1033" s="2">
        <v>45891</v>
      </c>
      <c r="C1033" t="s">
        <v>311</v>
      </c>
      <c r="D1033" t="s">
        <v>456</v>
      </c>
      <c r="E1033" t="s">
        <v>152</v>
      </c>
      <c r="F1033">
        <v>1</v>
      </c>
      <c r="G1033" s="3">
        <v>0.05</v>
      </c>
      <c r="H1033" t="s">
        <v>14</v>
      </c>
      <c r="I1033" t="s">
        <v>54</v>
      </c>
      <c r="J1033" t="s">
        <v>21</v>
      </c>
    </row>
    <row r="1034" spans="1:10" x14ac:dyDescent="0.45">
      <c r="A1034" t="s">
        <v>1542</v>
      </c>
      <c r="B1034" s="2">
        <v>46178</v>
      </c>
      <c r="C1034" t="s">
        <v>276</v>
      </c>
      <c r="D1034" t="s">
        <v>202</v>
      </c>
      <c r="E1034" t="s">
        <v>111</v>
      </c>
      <c r="F1034">
        <v>12</v>
      </c>
      <c r="G1034" s="3">
        <v>0.15</v>
      </c>
      <c r="H1034" t="s">
        <v>14</v>
      </c>
      <c r="I1034" t="s">
        <v>54</v>
      </c>
      <c r="J1034" t="s">
        <v>107</v>
      </c>
    </row>
    <row r="1035" spans="1:10" x14ac:dyDescent="0.45">
      <c r="A1035" t="s">
        <v>1543</v>
      </c>
      <c r="B1035" s="2">
        <v>46171</v>
      </c>
      <c r="C1035" t="s">
        <v>212</v>
      </c>
      <c r="D1035" t="s">
        <v>246</v>
      </c>
      <c r="E1035" t="s">
        <v>197</v>
      </c>
      <c r="F1035">
        <v>6</v>
      </c>
      <c r="G1035" s="3">
        <v>0.1</v>
      </c>
      <c r="H1035" t="s">
        <v>14</v>
      </c>
      <c r="I1035" t="s">
        <v>15</v>
      </c>
      <c r="J1035" t="s">
        <v>21</v>
      </c>
    </row>
    <row r="1036" spans="1:10" x14ac:dyDescent="0.45">
      <c r="A1036" t="s">
        <v>1544</v>
      </c>
      <c r="B1036" s="2">
        <v>46153</v>
      </c>
      <c r="C1036" t="s">
        <v>1128</v>
      </c>
      <c r="D1036" t="s">
        <v>238</v>
      </c>
      <c r="E1036" t="s">
        <v>144</v>
      </c>
      <c r="F1036">
        <v>7</v>
      </c>
      <c r="G1036" s="3">
        <v>0</v>
      </c>
      <c r="H1036" t="s">
        <v>53</v>
      </c>
      <c r="I1036" t="s">
        <v>48</v>
      </c>
      <c r="J1036" t="s">
        <v>21</v>
      </c>
    </row>
    <row r="1037" spans="1:10" x14ac:dyDescent="0.45">
      <c r="A1037" t="s">
        <v>1545</v>
      </c>
      <c r="B1037" s="2">
        <v>45811</v>
      </c>
      <c r="C1037" t="s">
        <v>459</v>
      </c>
      <c r="D1037" t="s">
        <v>249</v>
      </c>
      <c r="E1037" t="s">
        <v>218</v>
      </c>
      <c r="F1037">
        <v>5</v>
      </c>
      <c r="G1037" s="3">
        <v>0</v>
      </c>
      <c r="H1037" t="s">
        <v>53</v>
      </c>
      <c r="I1037" t="s">
        <v>27</v>
      </c>
      <c r="J1037" t="s">
        <v>21</v>
      </c>
    </row>
    <row r="1038" spans="1:10" x14ac:dyDescent="0.45">
      <c r="A1038" t="s">
        <v>1546</v>
      </c>
      <c r="B1038" s="2">
        <v>46194</v>
      </c>
      <c r="C1038" t="s">
        <v>916</v>
      </c>
      <c r="D1038" t="s">
        <v>110</v>
      </c>
      <c r="E1038" t="s">
        <v>111</v>
      </c>
      <c r="F1038">
        <v>4</v>
      </c>
      <c r="G1038" s="3">
        <v>0.05</v>
      </c>
      <c r="H1038" t="s">
        <v>14</v>
      </c>
      <c r="I1038" t="s">
        <v>48</v>
      </c>
      <c r="J1038" t="s">
        <v>21</v>
      </c>
    </row>
    <row r="1039" spans="1:10" x14ac:dyDescent="0.45">
      <c r="A1039" t="s">
        <v>1547</v>
      </c>
      <c r="B1039" s="2">
        <v>45726</v>
      </c>
      <c r="C1039" t="s">
        <v>855</v>
      </c>
      <c r="D1039" t="s">
        <v>148</v>
      </c>
      <c r="E1039" t="s">
        <v>140</v>
      </c>
      <c r="F1039">
        <v>5</v>
      </c>
      <c r="G1039" s="3">
        <v>0</v>
      </c>
      <c r="H1039" t="s">
        <v>26</v>
      </c>
      <c r="I1039" t="s">
        <v>48</v>
      </c>
      <c r="J1039" t="s">
        <v>21</v>
      </c>
    </row>
    <row r="1040" spans="1:10" x14ac:dyDescent="0.45">
      <c r="A1040" t="s">
        <v>1548</v>
      </c>
      <c r="B1040" s="2">
        <v>45920</v>
      </c>
      <c r="C1040" t="s">
        <v>96</v>
      </c>
      <c r="D1040" t="s">
        <v>410</v>
      </c>
      <c r="E1040" t="s">
        <v>218</v>
      </c>
      <c r="F1040">
        <v>12</v>
      </c>
      <c r="G1040" s="3">
        <v>0.03</v>
      </c>
      <c r="H1040" t="s">
        <v>53</v>
      </c>
      <c r="I1040" t="s">
        <v>54</v>
      </c>
      <c r="J1040" t="s">
        <v>21</v>
      </c>
    </row>
    <row r="1041" spans="1:10" x14ac:dyDescent="0.45">
      <c r="A1041" t="s">
        <v>1549</v>
      </c>
      <c r="B1041" s="2">
        <v>45699</v>
      </c>
      <c r="C1041" t="s">
        <v>67</v>
      </c>
      <c r="D1041" t="s">
        <v>75</v>
      </c>
      <c r="E1041" t="s">
        <v>144</v>
      </c>
      <c r="F1041">
        <v>10</v>
      </c>
      <c r="G1041" s="3">
        <v>0.08</v>
      </c>
      <c r="H1041" t="s">
        <v>14</v>
      </c>
      <c r="I1041" t="s">
        <v>48</v>
      </c>
      <c r="J1041" t="s">
        <v>59</v>
      </c>
    </row>
    <row r="1042" spans="1:10" x14ac:dyDescent="0.45">
      <c r="A1042" t="s">
        <v>1550</v>
      </c>
      <c r="B1042" s="2">
        <v>46193</v>
      </c>
      <c r="C1042" t="s">
        <v>373</v>
      </c>
      <c r="D1042" t="s">
        <v>277</v>
      </c>
      <c r="E1042" t="s">
        <v>225</v>
      </c>
      <c r="F1042">
        <v>5</v>
      </c>
      <c r="G1042" s="3">
        <v>0</v>
      </c>
      <c r="H1042" t="s">
        <v>14</v>
      </c>
      <c r="I1042" t="s">
        <v>54</v>
      </c>
      <c r="J1042" t="s">
        <v>21</v>
      </c>
    </row>
    <row r="1043" spans="1:10" x14ac:dyDescent="0.45">
      <c r="A1043" t="s">
        <v>1551</v>
      </c>
      <c r="B1043" s="2">
        <v>45758</v>
      </c>
      <c r="C1043" t="s">
        <v>597</v>
      </c>
      <c r="D1043" t="s">
        <v>238</v>
      </c>
      <c r="E1043" t="s">
        <v>85</v>
      </c>
      <c r="F1043">
        <v>9</v>
      </c>
      <c r="G1043" s="3">
        <v>0</v>
      </c>
      <c r="H1043" t="s">
        <v>14</v>
      </c>
      <c r="I1043" t="s">
        <v>48</v>
      </c>
      <c r="J1043" t="s">
        <v>21</v>
      </c>
    </row>
    <row r="1044" spans="1:10" x14ac:dyDescent="0.45">
      <c r="A1044" t="s">
        <v>1552</v>
      </c>
      <c r="B1044" s="2">
        <v>46145</v>
      </c>
      <c r="C1044" t="s">
        <v>486</v>
      </c>
      <c r="D1044" t="s">
        <v>500</v>
      </c>
      <c r="E1044" t="s">
        <v>127</v>
      </c>
      <c r="F1044">
        <v>4</v>
      </c>
      <c r="G1044" s="3">
        <v>0</v>
      </c>
      <c r="H1044" t="s">
        <v>14</v>
      </c>
      <c r="I1044" t="s">
        <v>54</v>
      </c>
      <c r="J1044" t="s">
        <v>21</v>
      </c>
    </row>
    <row r="1045" spans="1:10" x14ac:dyDescent="0.45">
      <c r="A1045" t="s">
        <v>1553</v>
      </c>
      <c r="B1045" s="2">
        <v>46098</v>
      </c>
      <c r="C1045" t="s">
        <v>679</v>
      </c>
      <c r="D1045" t="s">
        <v>196</v>
      </c>
      <c r="E1045" t="s">
        <v>97</v>
      </c>
      <c r="F1045">
        <v>2</v>
      </c>
      <c r="G1045" s="3">
        <v>0.2</v>
      </c>
      <c r="H1045" t="s">
        <v>53</v>
      </c>
      <c r="I1045" t="s">
        <v>54</v>
      </c>
      <c r="J1045" t="s">
        <v>21</v>
      </c>
    </row>
    <row r="1046" spans="1:10" x14ac:dyDescent="0.45">
      <c r="A1046" t="s">
        <v>1554</v>
      </c>
      <c r="B1046" s="2">
        <v>46125</v>
      </c>
      <c r="C1046" t="s">
        <v>255</v>
      </c>
      <c r="D1046" t="s">
        <v>34</v>
      </c>
      <c r="E1046" t="s">
        <v>40</v>
      </c>
      <c r="F1046">
        <v>1</v>
      </c>
      <c r="G1046" s="3">
        <v>0.08</v>
      </c>
      <c r="H1046" t="s">
        <v>53</v>
      </c>
      <c r="I1046" t="s">
        <v>27</v>
      </c>
      <c r="J1046" t="s">
        <v>21</v>
      </c>
    </row>
    <row r="1047" spans="1:10" x14ac:dyDescent="0.45">
      <c r="A1047" t="s">
        <v>1555</v>
      </c>
      <c r="B1047" s="2">
        <v>46152</v>
      </c>
      <c r="C1047" t="s">
        <v>582</v>
      </c>
      <c r="D1047" t="s">
        <v>148</v>
      </c>
      <c r="E1047" t="s">
        <v>140</v>
      </c>
      <c r="F1047">
        <v>9</v>
      </c>
      <c r="G1047" s="3">
        <v>0.08</v>
      </c>
      <c r="H1047" t="s">
        <v>26</v>
      </c>
      <c r="I1047" t="s">
        <v>27</v>
      </c>
      <c r="J1047" t="s">
        <v>21</v>
      </c>
    </row>
    <row r="1048" spans="1:10" x14ac:dyDescent="0.45">
      <c r="A1048" t="s">
        <v>1556</v>
      </c>
      <c r="B1048" s="2">
        <v>45939</v>
      </c>
      <c r="C1048" t="s">
        <v>232</v>
      </c>
      <c r="D1048" t="s">
        <v>410</v>
      </c>
      <c r="E1048" t="s">
        <v>281</v>
      </c>
      <c r="F1048">
        <v>11</v>
      </c>
      <c r="G1048" s="3">
        <v>0.08</v>
      </c>
      <c r="H1048" t="s">
        <v>53</v>
      </c>
      <c r="I1048" t="s">
        <v>48</v>
      </c>
      <c r="J1048" t="s">
        <v>107</v>
      </c>
    </row>
    <row r="1049" spans="1:10" x14ac:dyDescent="0.45">
      <c r="A1049" t="s">
        <v>1557</v>
      </c>
      <c r="B1049" s="2">
        <v>45984</v>
      </c>
      <c r="C1049" t="s">
        <v>828</v>
      </c>
      <c r="D1049" t="s">
        <v>210</v>
      </c>
      <c r="E1049" t="s">
        <v>97</v>
      </c>
      <c r="F1049">
        <v>9</v>
      </c>
      <c r="G1049" s="3">
        <v>0.2</v>
      </c>
      <c r="H1049" t="s">
        <v>14</v>
      </c>
      <c r="I1049" t="s">
        <v>54</v>
      </c>
      <c r="J1049" t="s">
        <v>21</v>
      </c>
    </row>
    <row r="1050" spans="1:10" x14ac:dyDescent="0.45">
      <c r="A1050" t="s">
        <v>1558</v>
      </c>
      <c r="B1050" s="2">
        <v>46111</v>
      </c>
      <c r="C1050" t="s">
        <v>77</v>
      </c>
      <c r="D1050" t="s">
        <v>391</v>
      </c>
      <c r="E1050" t="s">
        <v>31</v>
      </c>
      <c r="F1050">
        <v>6</v>
      </c>
      <c r="G1050" s="3">
        <v>0.03</v>
      </c>
      <c r="H1050" t="s">
        <v>14</v>
      </c>
      <c r="I1050" t="s">
        <v>48</v>
      </c>
      <c r="J1050" t="s">
        <v>59</v>
      </c>
    </row>
    <row r="1051" spans="1:10" x14ac:dyDescent="0.45">
      <c r="A1051" t="s">
        <v>1559</v>
      </c>
      <c r="B1051" s="2">
        <v>45970</v>
      </c>
      <c r="C1051" t="s">
        <v>1112</v>
      </c>
      <c r="D1051" t="s">
        <v>320</v>
      </c>
      <c r="E1051" t="s">
        <v>140</v>
      </c>
      <c r="F1051">
        <v>6</v>
      </c>
      <c r="G1051" s="3">
        <v>0.2</v>
      </c>
      <c r="H1051" t="s">
        <v>14</v>
      </c>
      <c r="I1051" t="s">
        <v>27</v>
      </c>
      <c r="J1051" t="s">
        <v>36</v>
      </c>
    </row>
    <row r="1052" spans="1:10" x14ac:dyDescent="0.45">
      <c r="A1052" t="s">
        <v>1560</v>
      </c>
      <c r="B1052" s="2">
        <v>45816</v>
      </c>
      <c r="C1052" t="s">
        <v>835</v>
      </c>
      <c r="D1052" t="s">
        <v>94</v>
      </c>
      <c r="E1052" t="s">
        <v>20</v>
      </c>
      <c r="F1052">
        <v>6</v>
      </c>
      <c r="G1052" s="3">
        <v>0.03</v>
      </c>
      <c r="H1052" t="s">
        <v>14</v>
      </c>
      <c r="I1052" t="s">
        <v>15</v>
      </c>
      <c r="J1052" t="s">
        <v>16</v>
      </c>
    </row>
    <row r="1053" spans="1:10" x14ac:dyDescent="0.45">
      <c r="A1053" t="s">
        <v>1561</v>
      </c>
      <c r="B1053" s="2">
        <v>45818</v>
      </c>
      <c r="C1053" t="s">
        <v>732</v>
      </c>
      <c r="D1053" t="s">
        <v>34</v>
      </c>
      <c r="E1053" t="s">
        <v>20</v>
      </c>
      <c r="F1053">
        <v>6</v>
      </c>
      <c r="G1053" s="3">
        <v>0.2</v>
      </c>
      <c r="H1053" t="s">
        <v>53</v>
      </c>
      <c r="I1053" t="s">
        <v>15</v>
      </c>
      <c r="J1053" t="s">
        <v>16</v>
      </c>
    </row>
    <row r="1054" spans="1:10" x14ac:dyDescent="0.45">
      <c r="A1054" t="s">
        <v>1562</v>
      </c>
      <c r="B1054" s="2">
        <v>46141</v>
      </c>
      <c r="C1054" t="s">
        <v>1144</v>
      </c>
      <c r="D1054" t="s">
        <v>151</v>
      </c>
      <c r="E1054" t="s">
        <v>152</v>
      </c>
      <c r="F1054">
        <v>5</v>
      </c>
      <c r="G1054" s="3">
        <v>0.1</v>
      </c>
      <c r="H1054" t="s">
        <v>14</v>
      </c>
      <c r="I1054" t="s">
        <v>27</v>
      </c>
      <c r="J1054" t="s">
        <v>59</v>
      </c>
    </row>
    <row r="1055" spans="1:10" x14ac:dyDescent="0.45">
      <c r="A1055" t="s">
        <v>1563</v>
      </c>
      <c r="B1055" s="2">
        <v>45973</v>
      </c>
      <c r="C1055" t="s">
        <v>1079</v>
      </c>
      <c r="D1055" t="s">
        <v>88</v>
      </c>
      <c r="E1055" t="s">
        <v>85</v>
      </c>
      <c r="F1055">
        <v>7</v>
      </c>
      <c r="G1055" s="3">
        <v>0.15</v>
      </c>
      <c r="H1055" t="s">
        <v>53</v>
      </c>
      <c r="I1055" t="s">
        <v>48</v>
      </c>
      <c r="J1055" t="s">
        <v>59</v>
      </c>
    </row>
    <row r="1056" spans="1:10" x14ac:dyDescent="0.45">
      <c r="A1056" t="s">
        <v>1564</v>
      </c>
      <c r="B1056" s="2">
        <v>46020</v>
      </c>
      <c r="C1056" t="s">
        <v>1565</v>
      </c>
      <c r="D1056" t="s">
        <v>221</v>
      </c>
      <c r="E1056" t="s">
        <v>13</v>
      </c>
      <c r="F1056">
        <v>11</v>
      </c>
      <c r="G1056" s="3">
        <v>0.03</v>
      </c>
      <c r="H1056" t="s">
        <v>26</v>
      </c>
      <c r="I1056" t="s">
        <v>27</v>
      </c>
      <c r="J1056" t="s">
        <v>21</v>
      </c>
    </row>
    <row r="1057" spans="1:10" x14ac:dyDescent="0.45">
      <c r="A1057" t="s">
        <v>1566</v>
      </c>
      <c r="B1057" s="2">
        <v>45920</v>
      </c>
      <c r="C1057" t="s">
        <v>504</v>
      </c>
      <c r="D1057" t="s">
        <v>430</v>
      </c>
      <c r="E1057" t="s">
        <v>115</v>
      </c>
      <c r="F1057">
        <v>5</v>
      </c>
      <c r="G1057" s="3">
        <v>0.1</v>
      </c>
      <c r="H1057" t="s">
        <v>14</v>
      </c>
      <c r="I1057" t="s">
        <v>15</v>
      </c>
      <c r="J1057" t="s">
        <v>16</v>
      </c>
    </row>
    <row r="1058" spans="1:10" x14ac:dyDescent="0.45">
      <c r="A1058" t="s">
        <v>1567</v>
      </c>
      <c r="B1058" s="2">
        <v>45862</v>
      </c>
      <c r="C1058" t="s">
        <v>1568</v>
      </c>
      <c r="D1058" t="s">
        <v>502</v>
      </c>
      <c r="E1058" t="s">
        <v>52</v>
      </c>
      <c r="F1058">
        <v>4</v>
      </c>
      <c r="G1058" s="3">
        <v>0.2</v>
      </c>
      <c r="H1058" t="s">
        <v>53</v>
      </c>
      <c r="I1058" t="s">
        <v>48</v>
      </c>
      <c r="J1058" t="s">
        <v>21</v>
      </c>
    </row>
    <row r="1059" spans="1:10" x14ac:dyDescent="0.45">
      <c r="A1059" t="s">
        <v>1569</v>
      </c>
      <c r="B1059" s="2">
        <v>46149</v>
      </c>
      <c r="C1059" t="s">
        <v>466</v>
      </c>
      <c r="D1059" t="s">
        <v>135</v>
      </c>
      <c r="E1059" t="s">
        <v>111</v>
      </c>
      <c r="F1059">
        <v>12</v>
      </c>
      <c r="G1059" s="3">
        <v>0.2</v>
      </c>
      <c r="H1059" t="s">
        <v>26</v>
      </c>
      <c r="I1059" t="s">
        <v>48</v>
      </c>
      <c r="J1059" t="s">
        <v>16</v>
      </c>
    </row>
    <row r="1060" spans="1:10" x14ac:dyDescent="0.45">
      <c r="A1060" t="s">
        <v>1570</v>
      </c>
      <c r="B1060" s="2">
        <v>45944</v>
      </c>
      <c r="C1060" t="s">
        <v>154</v>
      </c>
      <c r="D1060" t="s">
        <v>210</v>
      </c>
      <c r="E1060" t="s">
        <v>218</v>
      </c>
      <c r="F1060">
        <v>10</v>
      </c>
      <c r="G1060" s="3">
        <v>0.15</v>
      </c>
      <c r="H1060" t="s">
        <v>14</v>
      </c>
      <c r="I1060" t="s">
        <v>48</v>
      </c>
      <c r="J1060" t="s">
        <v>21</v>
      </c>
    </row>
    <row r="1061" spans="1:10" x14ac:dyDescent="0.45">
      <c r="A1061" t="s">
        <v>1571</v>
      </c>
      <c r="B1061" s="2">
        <v>46106</v>
      </c>
      <c r="C1061" t="s">
        <v>645</v>
      </c>
      <c r="D1061" t="s">
        <v>272</v>
      </c>
      <c r="E1061" t="s">
        <v>58</v>
      </c>
      <c r="F1061">
        <v>5</v>
      </c>
      <c r="G1061" s="3">
        <v>0</v>
      </c>
      <c r="H1061" t="s">
        <v>14</v>
      </c>
      <c r="I1061" t="s">
        <v>48</v>
      </c>
      <c r="J1061" t="s">
        <v>21</v>
      </c>
    </row>
    <row r="1062" spans="1:10" x14ac:dyDescent="0.45">
      <c r="A1062" t="s">
        <v>1572</v>
      </c>
      <c r="B1062" s="2">
        <v>45812</v>
      </c>
      <c r="C1062" t="s">
        <v>123</v>
      </c>
      <c r="D1062" t="s">
        <v>68</v>
      </c>
      <c r="E1062" t="s">
        <v>225</v>
      </c>
      <c r="F1062">
        <v>10</v>
      </c>
      <c r="G1062" s="3">
        <v>0.08</v>
      </c>
      <c r="H1062" t="s">
        <v>14</v>
      </c>
      <c r="I1062" t="s">
        <v>48</v>
      </c>
      <c r="J1062" t="s">
        <v>21</v>
      </c>
    </row>
    <row r="1063" spans="1:10" x14ac:dyDescent="0.45">
      <c r="A1063" t="s">
        <v>1573</v>
      </c>
      <c r="B1063" s="2">
        <v>45924</v>
      </c>
      <c r="C1063" t="s">
        <v>725</v>
      </c>
      <c r="D1063" t="s">
        <v>94</v>
      </c>
      <c r="E1063" t="s">
        <v>52</v>
      </c>
      <c r="F1063">
        <v>9</v>
      </c>
      <c r="G1063" s="3">
        <v>0.08</v>
      </c>
      <c r="H1063" t="s">
        <v>53</v>
      </c>
      <c r="I1063" t="s">
        <v>54</v>
      </c>
      <c r="J1063" t="s">
        <v>16</v>
      </c>
    </row>
    <row r="1064" spans="1:10" x14ac:dyDescent="0.45">
      <c r="A1064" t="s">
        <v>1574</v>
      </c>
      <c r="B1064" s="2">
        <v>46114</v>
      </c>
      <c r="C1064" t="s">
        <v>993</v>
      </c>
      <c r="D1064" t="s">
        <v>88</v>
      </c>
      <c r="E1064" t="s">
        <v>58</v>
      </c>
      <c r="F1064">
        <v>12</v>
      </c>
      <c r="G1064" s="3">
        <v>0.05</v>
      </c>
      <c r="H1064" t="s">
        <v>14</v>
      </c>
      <c r="I1064" t="s">
        <v>15</v>
      </c>
      <c r="J1064" t="s">
        <v>21</v>
      </c>
    </row>
    <row r="1065" spans="1:10" x14ac:dyDescent="0.45">
      <c r="A1065" t="s">
        <v>1575</v>
      </c>
      <c r="B1065" s="2">
        <v>45923</v>
      </c>
      <c r="C1065" t="s">
        <v>1576</v>
      </c>
      <c r="D1065" t="s">
        <v>148</v>
      </c>
      <c r="E1065" t="s">
        <v>115</v>
      </c>
      <c r="F1065">
        <v>5</v>
      </c>
      <c r="G1065" s="3">
        <v>0</v>
      </c>
      <c r="H1065" t="s">
        <v>14</v>
      </c>
      <c r="I1065" t="s">
        <v>15</v>
      </c>
      <c r="J1065" t="s">
        <v>21</v>
      </c>
    </row>
    <row r="1066" spans="1:10" x14ac:dyDescent="0.45">
      <c r="A1066" t="s">
        <v>1577</v>
      </c>
      <c r="B1066" s="2">
        <v>46199</v>
      </c>
      <c r="C1066" t="s">
        <v>1578</v>
      </c>
      <c r="D1066" t="s">
        <v>210</v>
      </c>
      <c r="E1066" t="s">
        <v>35</v>
      </c>
      <c r="F1066">
        <v>1</v>
      </c>
      <c r="G1066" s="3">
        <v>0.1</v>
      </c>
      <c r="H1066" t="s">
        <v>14</v>
      </c>
      <c r="I1066" t="s">
        <v>15</v>
      </c>
      <c r="J1066" t="s">
        <v>107</v>
      </c>
    </row>
    <row r="1067" spans="1:10" x14ac:dyDescent="0.45">
      <c r="A1067" t="s">
        <v>1579</v>
      </c>
      <c r="B1067" s="2">
        <v>46161</v>
      </c>
      <c r="C1067" t="s">
        <v>229</v>
      </c>
      <c r="D1067" t="s">
        <v>135</v>
      </c>
      <c r="E1067" t="s">
        <v>52</v>
      </c>
      <c r="F1067">
        <v>5</v>
      </c>
      <c r="G1067" s="3">
        <v>0.1</v>
      </c>
      <c r="H1067" t="s">
        <v>53</v>
      </c>
      <c r="I1067" t="s">
        <v>48</v>
      </c>
      <c r="J1067" t="s">
        <v>21</v>
      </c>
    </row>
    <row r="1068" spans="1:10" x14ac:dyDescent="0.45">
      <c r="A1068" t="s">
        <v>1580</v>
      </c>
      <c r="B1068" s="2">
        <v>45820</v>
      </c>
      <c r="C1068" t="s">
        <v>33</v>
      </c>
      <c r="D1068" t="s">
        <v>646</v>
      </c>
      <c r="E1068" t="s">
        <v>52</v>
      </c>
      <c r="F1068">
        <v>9</v>
      </c>
      <c r="G1068" s="3">
        <v>0</v>
      </c>
      <c r="H1068" t="s">
        <v>14</v>
      </c>
      <c r="I1068" t="s">
        <v>15</v>
      </c>
      <c r="J1068" t="s">
        <v>21</v>
      </c>
    </row>
    <row r="1069" spans="1:10" x14ac:dyDescent="0.45">
      <c r="A1069" t="s">
        <v>1581</v>
      </c>
      <c r="B1069" s="2">
        <v>46099</v>
      </c>
      <c r="C1069" t="s">
        <v>375</v>
      </c>
      <c r="D1069" t="s">
        <v>39</v>
      </c>
      <c r="E1069" t="s">
        <v>40</v>
      </c>
      <c r="F1069">
        <v>5</v>
      </c>
      <c r="G1069" s="3">
        <v>0.2</v>
      </c>
      <c r="H1069" t="s">
        <v>14</v>
      </c>
      <c r="I1069" t="s">
        <v>54</v>
      </c>
      <c r="J1069" t="s">
        <v>21</v>
      </c>
    </row>
    <row r="1070" spans="1:10" x14ac:dyDescent="0.45">
      <c r="A1070" t="s">
        <v>1582</v>
      </c>
      <c r="B1070" s="2">
        <v>46005</v>
      </c>
      <c r="C1070" t="s">
        <v>157</v>
      </c>
      <c r="D1070" t="s">
        <v>439</v>
      </c>
      <c r="E1070" t="s">
        <v>25</v>
      </c>
      <c r="F1070">
        <v>8</v>
      </c>
      <c r="G1070" s="3">
        <v>0.15</v>
      </c>
      <c r="H1070" t="s">
        <v>53</v>
      </c>
      <c r="I1070" t="s">
        <v>15</v>
      </c>
      <c r="J1070" t="s">
        <v>21</v>
      </c>
    </row>
    <row r="1071" spans="1:10" x14ac:dyDescent="0.45">
      <c r="A1071" t="s">
        <v>1583</v>
      </c>
      <c r="B1071" s="2">
        <v>45677</v>
      </c>
      <c r="C1071" t="s">
        <v>945</v>
      </c>
      <c r="D1071" t="s">
        <v>30</v>
      </c>
      <c r="E1071" t="s">
        <v>136</v>
      </c>
      <c r="F1071">
        <v>1</v>
      </c>
      <c r="G1071" s="3">
        <v>0.05</v>
      </c>
      <c r="H1071" t="s">
        <v>14</v>
      </c>
      <c r="I1071" t="s">
        <v>54</v>
      </c>
      <c r="J1071" t="s">
        <v>21</v>
      </c>
    </row>
    <row r="1072" spans="1:10" x14ac:dyDescent="0.45">
      <c r="A1072" t="s">
        <v>1584</v>
      </c>
      <c r="B1072" s="2">
        <v>45992</v>
      </c>
      <c r="C1072" t="s">
        <v>42</v>
      </c>
      <c r="D1072" t="s">
        <v>78</v>
      </c>
      <c r="E1072" t="s">
        <v>20</v>
      </c>
      <c r="F1072">
        <v>9</v>
      </c>
      <c r="G1072" s="3">
        <v>0.2</v>
      </c>
      <c r="H1072" t="s">
        <v>53</v>
      </c>
      <c r="I1072" t="s">
        <v>54</v>
      </c>
      <c r="J1072" t="s">
        <v>59</v>
      </c>
    </row>
    <row r="1073" spans="1:10" x14ac:dyDescent="0.45">
      <c r="A1073" t="s">
        <v>1585</v>
      </c>
      <c r="B1073" s="2">
        <v>45814</v>
      </c>
      <c r="C1073" t="s">
        <v>150</v>
      </c>
      <c r="D1073" t="s">
        <v>158</v>
      </c>
      <c r="E1073" t="s">
        <v>72</v>
      </c>
      <c r="F1073">
        <v>4</v>
      </c>
      <c r="G1073" s="3">
        <v>0.03</v>
      </c>
      <c r="H1073" t="s">
        <v>14</v>
      </c>
      <c r="I1073" t="s">
        <v>54</v>
      </c>
      <c r="J1073" t="s">
        <v>21</v>
      </c>
    </row>
    <row r="1074" spans="1:10" x14ac:dyDescent="0.45">
      <c r="A1074" t="s">
        <v>1586</v>
      </c>
      <c r="B1074" s="2">
        <v>45788</v>
      </c>
      <c r="C1074" t="s">
        <v>338</v>
      </c>
      <c r="D1074" t="s">
        <v>114</v>
      </c>
      <c r="E1074" t="s">
        <v>35</v>
      </c>
      <c r="F1074">
        <v>9</v>
      </c>
      <c r="G1074" s="3">
        <v>0.1</v>
      </c>
      <c r="H1074" t="s">
        <v>26</v>
      </c>
      <c r="I1074" t="s">
        <v>27</v>
      </c>
      <c r="J1074" t="s">
        <v>36</v>
      </c>
    </row>
    <row r="1075" spans="1:10" x14ac:dyDescent="0.45">
      <c r="A1075" t="s">
        <v>1587</v>
      </c>
      <c r="B1075" s="2">
        <v>45968</v>
      </c>
      <c r="C1075" t="s">
        <v>1588</v>
      </c>
      <c r="D1075" t="s">
        <v>249</v>
      </c>
      <c r="E1075" t="s">
        <v>115</v>
      </c>
      <c r="F1075">
        <v>3</v>
      </c>
      <c r="G1075" s="3">
        <v>0.15</v>
      </c>
      <c r="H1075" t="s">
        <v>26</v>
      </c>
      <c r="I1075" t="s">
        <v>54</v>
      </c>
      <c r="J1075" t="s">
        <v>36</v>
      </c>
    </row>
    <row r="1076" spans="1:10" x14ac:dyDescent="0.45">
      <c r="A1076" t="s">
        <v>1589</v>
      </c>
      <c r="B1076" s="2">
        <v>45798</v>
      </c>
      <c r="C1076" t="s">
        <v>1590</v>
      </c>
      <c r="D1076" t="s">
        <v>158</v>
      </c>
      <c r="E1076" t="s">
        <v>97</v>
      </c>
      <c r="F1076">
        <v>8</v>
      </c>
      <c r="G1076" s="3">
        <v>0</v>
      </c>
      <c r="H1076" t="s">
        <v>53</v>
      </c>
      <c r="I1076" t="s">
        <v>15</v>
      </c>
      <c r="J1076" t="s">
        <v>21</v>
      </c>
    </row>
    <row r="1077" spans="1:10" x14ac:dyDescent="0.45">
      <c r="A1077" t="s">
        <v>1591</v>
      </c>
      <c r="B1077" s="2">
        <v>45708</v>
      </c>
      <c r="C1077" t="s">
        <v>315</v>
      </c>
      <c r="D1077" t="s">
        <v>249</v>
      </c>
      <c r="E1077" t="s">
        <v>136</v>
      </c>
      <c r="F1077">
        <v>8</v>
      </c>
      <c r="G1077" s="3">
        <v>0.2</v>
      </c>
      <c r="H1077" t="s">
        <v>14</v>
      </c>
      <c r="I1077" t="s">
        <v>54</v>
      </c>
      <c r="J1077" t="s">
        <v>16</v>
      </c>
    </row>
    <row r="1078" spans="1:10" x14ac:dyDescent="0.45">
      <c r="A1078" t="s">
        <v>1592</v>
      </c>
      <c r="B1078" s="2">
        <v>45837</v>
      </c>
      <c r="C1078" t="s">
        <v>531</v>
      </c>
      <c r="D1078" t="s">
        <v>155</v>
      </c>
      <c r="E1078" t="s">
        <v>127</v>
      </c>
      <c r="F1078">
        <v>9</v>
      </c>
      <c r="G1078" s="3">
        <v>0</v>
      </c>
      <c r="H1078" t="s">
        <v>14</v>
      </c>
      <c r="I1078" t="s">
        <v>54</v>
      </c>
      <c r="J1078" t="s">
        <v>21</v>
      </c>
    </row>
    <row r="1079" spans="1:10" x14ac:dyDescent="0.45">
      <c r="A1079" t="s">
        <v>1593</v>
      </c>
      <c r="B1079" s="2">
        <v>45982</v>
      </c>
      <c r="C1079" t="s">
        <v>589</v>
      </c>
      <c r="D1079" t="s">
        <v>114</v>
      </c>
      <c r="E1079" t="s">
        <v>58</v>
      </c>
      <c r="F1079">
        <v>7</v>
      </c>
      <c r="G1079" s="3">
        <v>0.05</v>
      </c>
      <c r="H1079" t="s">
        <v>14</v>
      </c>
      <c r="I1079" t="s">
        <v>48</v>
      </c>
      <c r="J1079" t="s">
        <v>16</v>
      </c>
    </row>
    <row r="1080" spans="1:10" x14ac:dyDescent="0.45">
      <c r="A1080" t="s">
        <v>1594</v>
      </c>
      <c r="B1080" s="2">
        <v>46178</v>
      </c>
      <c r="C1080" t="s">
        <v>181</v>
      </c>
      <c r="D1080" t="s">
        <v>238</v>
      </c>
      <c r="E1080" t="s">
        <v>152</v>
      </c>
      <c r="F1080">
        <v>2</v>
      </c>
      <c r="G1080" s="3">
        <v>0.2</v>
      </c>
      <c r="H1080" t="s">
        <v>14</v>
      </c>
      <c r="I1080" t="s">
        <v>15</v>
      </c>
      <c r="J1080" t="s">
        <v>16</v>
      </c>
    </row>
    <row r="1081" spans="1:10" x14ac:dyDescent="0.45">
      <c r="A1081" t="s">
        <v>1595</v>
      </c>
      <c r="B1081" s="2">
        <v>46027</v>
      </c>
      <c r="C1081" t="s">
        <v>841</v>
      </c>
      <c r="D1081" t="s">
        <v>143</v>
      </c>
      <c r="E1081" t="s">
        <v>58</v>
      </c>
      <c r="F1081">
        <v>5</v>
      </c>
      <c r="G1081" s="3">
        <v>0</v>
      </c>
      <c r="H1081" t="s">
        <v>14</v>
      </c>
      <c r="I1081" t="s">
        <v>27</v>
      </c>
      <c r="J1081" t="s">
        <v>21</v>
      </c>
    </row>
    <row r="1082" spans="1:10" x14ac:dyDescent="0.45">
      <c r="A1082" t="s">
        <v>1596</v>
      </c>
      <c r="B1082" s="2">
        <v>46057</v>
      </c>
      <c r="C1082" t="s">
        <v>1193</v>
      </c>
      <c r="D1082" t="s">
        <v>241</v>
      </c>
      <c r="E1082" t="s">
        <v>25</v>
      </c>
      <c r="F1082">
        <v>8</v>
      </c>
      <c r="G1082" s="3">
        <v>0</v>
      </c>
      <c r="H1082" t="s">
        <v>26</v>
      </c>
      <c r="I1082" t="s">
        <v>27</v>
      </c>
      <c r="J1082" t="s">
        <v>59</v>
      </c>
    </row>
    <row r="1083" spans="1:10" x14ac:dyDescent="0.45">
      <c r="A1083" t="s">
        <v>1597</v>
      </c>
      <c r="B1083" s="2">
        <v>45912</v>
      </c>
      <c r="C1083" t="s">
        <v>451</v>
      </c>
      <c r="D1083" t="s">
        <v>348</v>
      </c>
      <c r="E1083" t="s">
        <v>225</v>
      </c>
      <c r="F1083">
        <v>3</v>
      </c>
      <c r="G1083" s="3">
        <v>0</v>
      </c>
      <c r="H1083" t="s">
        <v>14</v>
      </c>
      <c r="I1083" t="s">
        <v>54</v>
      </c>
      <c r="J1083" t="s">
        <v>21</v>
      </c>
    </row>
    <row r="1084" spans="1:10" x14ac:dyDescent="0.45">
      <c r="A1084" t="s">
        <v>1598</v>
      </c>
      <c r="B1084" s="2">
        <v>45872</v>
      </c>
      <c r="C1084" t="s">
        <v>806</v>
      </c>
      <c r="D1084" t="s">
        <v>51</v>
      </c>
      <c r="E1084" t="s">
        <v>35</v>
      </c>
      <c r="F1084">
        <v>12</v>
      </c>
      <c r="G1084" s="3">
        <v>0.08</v>
      </c>
      <c r="H1084" t="s">
        <v>14</v>
      </c>
      <c r="I1084" t="s">
        <v>15</v>
      </c>
      <c r="J1084" t="s">
        <v>16</v>
      </c>
    </row>
    <row r="1085" spans="1:10" x14ac:dyDescent="0.45">
      <c r="A1085" t="s">
        <v>1599</v>
      </c>
      <c r="B1085" s="2">
        <v>46189</v>
      </c>
      <c r="C1085" t="s">
        <v>976</v>
      </c>
      <c r="D1085" t="s">
        <v>185</v>
      </c>
      <c r="E1085" t="s">
        <v>144</v>
      </c>
      <c r="F1085">
        <v>3</v>
      </c>
      <c r="G1085" s="3">
        <v>0.03</v>
      </c>
      <c r="H1085" t="s">
        <v>14</v>
      </c>
      <c r="I1085" t="s">
        <v>48</v>
      </c>
      <c r="J1085" t="s">
        <v>16</v>
      </c>
    </row>
    <row r="1086" spans="1:10" x14ac:dyDescent="0.45">
      <c r="A1086" t="s">
        <v>1600</v>
      </c>
      <c r="B1086" s="2">
        <v>45971</v>
      </c>
      <c r="C1086" t="s">
        <v>974</v>
      </c>
      <c r="D1086" t="s">
        <v>365</v>
      </c>
      <c r="E1086" t="s">
        <v>115</v>
      </c>
      <c r="F1086">
        <v>7</v>
      </c>
      <c r="G1086" s="3">
        <v>0.1</v>
      </c>
      <c r="H1086" t="s">
        <v>26</v>
      </c>
      <c r="I1086" t="s">
        <v>27</v>
      </c>
      <c r="J1086" t="s">
        <v>21</v>
      </c>
    </row>
    <row r="1087" spans="1:10" x14ac:dyDescent="0.45">
      <c r="A1087" t="s">
        <v>1601</v>
      </c>
      <c r="B1087" s="2">
        <v>45687</v>
      </c>
      <c r="C1087" t="s">
        <v>609</v>
      </c>
      <c r="D1087" t="s">
        <v>19</v>
      </c>
      <c r="E1087" t="s">
        <v>281</v>
      </c>
      <c r="F1087">
        <v>8</v>
      </c>
      <c r="G1087" s="3">
        <v>0</v>
      </c>
      <c r="H1087" t="s">
        <v>53</v>
      </c>
      <c r="I1087" t="s">
        <v>54</v>
      </c>
      <c r="J1087" t="s">
        <v>36</v>
      </c>
    </row>
    <row r="1088" spans="1:10" x14ac:dyDescent="0.45">
      <c r="A1088" t="s">
        <v>1602</v>
      </c>
      <c r="B1088" s="2">
        <v>46195</v>
      </c>
      <c r="C1088" t="s">
        <v>1086</v>
      </c>
      <c r="D1088" t="s">
        <v>164</v>
      </c>
      <c r="E1088" t="s">
        <v>136</v>
      </c>
      <c r="F1088">
        <v>3</v>
      </c>
      <c r="G1088" s="3">
        <v>0.03</v>
      </c>
      <c r="H1088" t="s">
        <v>14</v>
      </c>
      <c r="I1088" t="s">
        <v>27</v>
      </c>
      <c r="J1088" t="s">
        <v>36</v>
      </c>
    </row>
    <row r="1089" spans="1:10" x14ac:dyDescent="0.45">
      <c r="A1089" t="s">
        <v>1603</v>
      </c>
      <c r="B1089" s="2">
        <v>45773</v>
      </c>
      <c r="C1089" t="s">
        <v>663</v>
      </c>
      <c r="D1089" t="s">
        <v>230</v>
      </c>
      <c r="E1089" t="s">
        <v>127</v>
      </c>
      <c r="F1089">
        <v>8</v>
      </c>
      <c r="G1089" s="3">
        <v>0.2</v>
      </c>
      <c r="H1089" t="s">
        <v>26</v>
      </c>
      <c r="I1089" t="s">
        <v>15</v>
      </c>
      <c r="J1089" t="s">
        <v>21</v>
      </c>
    </row>
    <row r="1090" spans="1:10" x14ac:dyDescent="0.45">
      <c r="A1090" t="s">
        <v>1604</v>
      </c>
      <c r="B1090" s="2">
        <v>46145</v>
      </c>
      <c r="C1090" t="s">
        <v>396</v>
      </c>
      <c r="D1090" t="s">
        <v>256</v>
      </c>
      <c r="E1090" t="s">
        <v>101</v>
      </c>
      <c r="F1090">
        <v>8</v>
      </c>
      <c r="G1090" s="3">
        <v>0.08</v>
      </c>
      <c r="H1090" t="s">
        <v>14</v>
      </c>
      <c r="I1090" t="s">
        <v>27</v>
      </c>
      <c r="J1090" t="s">
        <v>107</v>
      </c>
    </row>
    <row r="1091" spans="1:10" x14ac:dyDescent="0.45">
      <c r="A1091" t="s">
        <v>1605</v>
      </c>
      <c r="B1091" s="2">
        <v>46162</v>
      </c>
      <c r="C1091" t="s">
        <v>1265</v>
      </c>
      <c r="D1091" t="s">
        <v>143</v>
      </c>
      <c r="E1091" t="s">
        <v>47</v>
      </c>
      <c r="F1091">
        <v>12</v>
      </c>
      <c r="G1091" s="3">
        <v>0.05</v>
      </c>
      <c r="H1091" t="s">
        <v>14</v>
      </c>
      <c r="I1091" t="s">
        <v>54</v>
      </c>
      <c r="J1091" t="s">
        <v>16</v>
      </c>
    </row>
    <row r="1092" spans="1:10" x14ac:dyDescent="0.45">
      <c r="A1092" t="s">
        <v>1606</v>
      </c>
      <c r="B1092" s="2">
        <v>45742</v>
      </c>
      <c r="C1092" t="s">
        <v>1177</v>
      </c>
      <c r="D1092" t="s">
        <v>614</v>
      </c>
      <c r="E1092" t="s">
        <v>20</v>
      </c>
      <c r="F1092">
        <v>12</v>
      </c>
      <c r="G1092" s="3">
        <v>0</v>
      </c>
      <c r="H1092" t="s">
        <v>53</v>
      </c>
      <c r="I1092" t="s">
        <v>27</v>
      </c>
      <c r="J1092" t="s">
        <v>36</v>
      </c>
    </row>
    <row r="1093" spans="1:10" x14ac:dyDescent="0.45">
      <c r="A1093" t="s">
        <v>1607</v>
      </c>
      <c r="B1093" s="2">
        <v>45914</v>
      </c>
      <c r="C1093" t="s">
        <v>1207</v>
      </c>
      <c r="D1093" t="s">
        <v>410</v>
      </c>
      <c r="E1093" t="s">
        <v>218</v>
      </c>
      <c r="F1093">
        <v>3</v>
      </c>
      <c r="G1093" s="3">
        <v>0.08</v>
      </c>
      <c r="H1093" t="s">
        <v>14</v>
      </c>
      <c r="I1093" t="s">
        <v>15</v>
      </c>
      <c r="J1093" t="s">
        <v>21</v>
      </c>
    </row>
    <row r="1094" spans="1:10" x14ac:dyDescent="0.45">
      <c r="A1094" t="s">
        <v>1608</v>
      </c>
      <c r="B1094" s="2">
        <v>45931</v>
      </c>
      <c r="C1094" t="s">
        <v>204</v>
      </c>
      <c r="D1094" t="s">
        <v>126</v>
      </c>
      <c r="E1094" t="s">
        <v>197</v>
      </c>
      <c r="F1094">
        <v>3</v>
      </c>
      <c r="G1094" s="3">
        <v>0.1</v>
      </c>
      <c r="H1094" t="s">
        <v>14</v>
      </c>
      <c r="I1094" t="s">
        <v>54</v>
      </c>
      <c r="J1094" t="s">
        <v>21</v>
      </c>
    </row>
    <row r="1095" spans="1:10" x14ac:dyDescent="0.45">
      <c r="A1095" t="s">
        <v>1609</v>
      </c>
      <c r="B1095" s="2">
        <v>45707</v>
      </c>
      <c r="C1095" t="s">
        <v>1035</v>
      </c>
      <c r="D1095" t="s">
        <v>456</v>
      </c>
      <c r="E1095" t="s">
        <v>25</v>
      </c>
      <c r="F1095">
        <v>4</v>
      </c>
      <c r="G1095" s="3">
        <v>0.03</v>
      </c>
      <c r="H1095" t="s">
        <v>14</v>
      </c>
      <c r="I1095" t="s">
        <v>48</v>
      </c>
      <c r="J1095" t="s">
        <v>16</v>
      </c>
    </row>
    <row r="1096" spans="1:10" x14ac:dyDescent="0.45">
      <c r="A1096" t="s">
        <v>1610</v>
      </c>
      <c r="B1096" s="2">
        <v>45988</v>
      </c>
      <c r="C1096" t="s">
        <v>488</v>
      </c>
      <c r="D1096" t="s">
        <v>100</v>
      </c>
      <c r="E1096" t="s">
        <v>136</v>
      </c>
      <c r="F1096">
        <v>1</v>
      </c>
      <c r="G1096" s="3">
        <v>0.2</v>
      </c>
      <c r="H1096" t="s">
        <v>14</v>
      </c>
      <c r="I1096" t="s">
        <v>27</v>
      </c>
      <c r="J1096" t="s">
        <v>21</v>
      </c>
    </row>
    <row r="1097" spans="1:10" x14ac:dyDescent="0.45">
      <c r="A1097" t="s">
        <v>1611</v>
      </c>
      <c r="B1097" s="2">
        <v>46120</v>
      </c>
      <c r="C1097" t="s">
        <v>524</v>
      </c>
      <c r="D1097" t="s">
        <v>94</v>
      </c>
      <c r="E1097" t="s">
        <v>136</v>
      </c>
      <c r="F1097">
        <v>4</v>
      </c>
      <c r="G1097" s="3">
        <v>0.2</v>
      </c>
      <c r="H1097" t="s">
        <v>53</v>
      </c>
      <c r="I1097" t="s">
        <v>15</v>
      </c>
      <c r="J1097" t="s">
        <v>21</v>
      </c>
    </row>
    <row r="1098" spans="1:10" x14ac:dyDescent="0.45">
      <c r="A1098" t="s">
        <v>1612</v>
      </c>
      <c r="B1098" s="2">
        <v>46003</v>
      </c>
      <c r="C1098" t="s">
        <v>1151</v>
      </c>
      <c r="D1098" t="s">
        <v>118</v>
      </c>
      <c r="E1098" t="s">
        <v>281</v>
      </c>
      <c r="F1098">
        <v>3</v>
      </c>
      <c r="G1098" s="3">
        <v>0.08</v>
      </c>
      <c r="H1098" t="s">
        <v>14</v>
      </c>
      <c r="I1098" t="s">
        <v>15</v>
      </c>
      <c r="J1098" t="s">
        <v>16</v>
      </c>
    </row>
    <row r="1099" spans="1:10" x14ac:dyDescent="0.45">
      <c r="A1099" t="s">
        <v>1613</v>
      </c>
      <c r="B1099" s="2">
        <v>46008</v>
      </c>
      <c r="C1099" t="s">
        <v>56</v>
      </c>
      <c r="D1099" t="s">
        <v>143</v>
      </c>
      <c r="E1099" t="s">
        <v>20</v>
      </c>
      <c r="F1099">
        <v>9</v>
      </c>
      <c r="G1099" s="3">
        <v>0.08</v>
      </c>
      <c r="H1099" t="s">
        <v>14</v>
      </c>
      <c r="I1099" t="s">
        <v>27</v>
      </c>
      <c r="J1099" t="s">
        <v>21</v>
      </c>
    </row>
    <row r="1100" spans="1:10" x14ac:dyDescent="0.45">
      <c r="A1100" t="s">
        <v>1614</v>
      </c>
      <c r="B1100" s="2">
        <v>45754</v>
      </c>
      <c r="C1100" t="s">
        <v>317</v>
      </c>
      <c r="D1100" t="s">
        <v>164</v>
      </c>
      <c r="E1100" t="s">
        <v>225</v>
      </c>
      <c r="F1100">
        <v>4</v>
      </c>
      <c r="G1100" s="3">
        <v>0.2</v>
      </c>
      <c r="H1100" t="s">
        <v>53</v>
      </c>
      <c r="I1100" t="s">
        <v>48</v>
      </c>
      <c r="J1100" t="s">
        <v>21</v>
      </c>
    </row>
    <row r="1101" spans="1:10" x14ac:dyDescent="0.45">
      <c r="A1101" t="s">
        <v>1615</v>
      </c>
      <c r="B1101" s="2">
        <v>45972</v>
      </c>
      <c r="C1101" t="s">
        <v>635</v>
      </c>
      <c r="D1101" t="s">
        <v>91</v>
      </c>
      <c r="E1101" t="s">
        <v>58</v>
      </c>
      <c r="F1101">
        <v>8</v>
      </c>
      <c r="G1101" s="3">
        <v>0.15</v>
      </c>
      <c r="H1101" t="s">
        <v>14</v>
      </c>
      <c r="I1101" t="s">
        <v>48</v>
      </c>
      <c r="J1101" t="s">
        <v>107</v>
      </c>
    </row>
    <row r="1102" spans="1:10" x14ac:dyDescent="0.45">
      <c r="A1102" t="s">
        <v>1616</v>
      </c>
      <c r="B1102" s="2">
        <v>46181</v>
      </c>
      <c r="C1102" t="s">
        <v>229</v>
      </c>
      <c r="D1102" t="s">
        <v>439</v>
      </c>
      <c r="E1102" t="s">
        <v>136</v>
      </c>
      <c r="F1102">
        <v>4</v>
      </c>
      <c r="G1102" s="3">
        <v>0.03</v>
      </c>
      <c r="H1102" t="s">
        <v>53</v>
      </c>
      <c r="I1102" t="s">
        <v>54</v>
      </c>
      <c r="J1102" t="s">
        <v>16</v>
      </c>
    </row>
    <row r="1103" spans="1:10" x14ac:dyDescent="0.45">
      <c r="A1103" t="s">
        <v>1617</v>
      </c>
      <c r="B1103" s="2">
        <v>45813</v>
      </c>
      <c r="C1103" t="s">
        <v>779</v>
      </c>
      <c r="D1103" t="s">
        <v>158</v>
      </c>
      <c r="E1103" t="s">
        <v>140</v>
      </c>
      <c r="F1103">
        <v>10</v>
      </c>
      <c r="G1103" s="3">
        <v>0</v>
      </c>
      <c r="H1103" t="s">
        <v>53</v>
      </c>
      <c r="I1103" t="s">
        <v>27</v>
      </c>
      <c r="J1103" t="s">
        <v>21</v>
      </c>
    </row>
    <row r="1104" spans="1:10" x14ac:dyDescent="0.45">
      <c r="A1104" t="s">
        <v>1618</v>
      </c>
      <c r="B1104" s="2">
        <v>46041</v>
      </c>
      <c r="C1104" t="s">
        <v>696</v>
      </c>
      <c r="D1104" t="s">
        <v>404</v>
      </c>
      <c r="E1104" t="s">
        <v>144</v>
      </c>
      <c r="F1104">
        <v>3</v>
      </c>
      <c r="G1104" s="3">
        <v>0</v>
      </c>
      <c r="H1104" t="s">
        <v>53</v>
      </c>
      <c r="I1104" t="s">
        <v>54</v>
      </c>
      <c r="J1104" t="s">
        <v>16</v>
      </c>
    </row>
    <row r="1105" spans="1:10" x14ac:dyDescent="0.45">
      <c r="A1105" t="s">
        <v>1619</v>
      </c>
      <c r="B1105" s="2">
        <v>46092</v>
      </c>
      <c r="C1105" t="s">
        <v>1491</v>
      </c>
      <c r="D1105" t="s">
        <v>246</v>
      </c>
      <c r="E1105" t="s">
        <v>52</v>
      </c>
      <c r="F1105">
        <v>4</v>
      </c>
      <c r="G1105" s="3">
        <v>0.08</v>
      </c>
      <c r="H1105" t="s">
        <v>14</v>
      </c>
      <c r="I1105" t="s">
        <v>15</v>
      </c>
      <c r="J1105" t="s">
        <v>21</v>
      </c>
    </row>
    <row r="1106" spans="1:10" x14ac:dyDescent="0.45">
      <c r="A1106" t="s">
        <v>1620</v>
      </c>
      <c r="B1106" s="2">
        <v>46137</v>
      </c>
      <c r="C1106" t="s">
        <v>96</v>
      </c>
      <c r="D1106" t="s">
        <v>230</v>
      </c>
      <c r="E1106" t="s">
        <v>47</v>
      </c>
      <c r="F1106">
        <v>6</v>
      </c>
      <c r="G1106" s="3">
        <v>0.03</v>
      </c>
      <c r="H1106" t="s">
        <v>53</v>
      </c>
      <c r="I1106" t="s">
        <v>27</v>
      </c>
      <c r="J1106" t="s">
        <v>21</v>
      </c>
    </row>
    <row r="1107" spans="1:10" x14ac:dyDescent="0.45">
      <c r="A1107" t="s">
        <v>1621</v>
      </c>
      <c r="B1107" s="2">
        <v>45977</v>
      </c>
      <c r="C1107" t="s">
        <v>997</v>
      </c>
      <c r="D1107" t="s">
        <v>502</v>
      </c>
      <c r="E1107" t="s">
        <v>20</v>
      </c>
      <c r="F1107">
        <v>4</v>
      </c>
      <c r="G1107" s="3">
        <v>0</v>
      </c>
      <c r="H1107" t="s">
        <v>14</v>
      </c>
      <c r="I1107" t="s">
        <v>15</v>
      </c>
      <c r="J1107" t="s">
        <v>21</v>
      </c>
    </row>
    <row r="1108" spans="1:10" x14ac:dyDescent="0.45">
      <c r="A1108" t="s">
        <v>1622</v>
      </c>
      <c r="B1108" s="2">
        <v>45906</v>
      </c>
      <c r="C1108" t="s">
        <v>326</v>
      </c>
      <c r="D1108" t="s">
        <v>100</v>
      </c>
      <c r="E1108" t="s">
        <v>40</v>
      </c>
      <c r="F1108">
        <v>7</v>
      </c>
      <c r="G1108" s="3">
        <v>0.03</v>
      </c>
      <c r="H1108" t="s">
        <v>53</v>
      </c>
      <c r="I1108" t="s">
        <v>15</v>
      </c>
      <c r="J1108" t="s">
        <v>21</v>
      </c>
    </row>
    <row r="1109" spans="1:10" x14ac:dyDescent="0.45">
      <c r="A1109" t="s">
        <v>1623</v>
      </c>
      <c r="B1109" s="2">
        <v>45889</v>
      </c>
      <c r="C1109" t="s">
        <v>1348</v>
      </c>
      <c r="D1109" t="s">
        <v>170</v>
      </c>
      <c r="E1109" t="s">
        <v>127</v>
      </c>
      <c r="F1109">
        <v>5</v>
      </c>
      <c r="G1109" s="3">
        <v>0.03</v>
      </c>
      <c r="H1109" t="s">
        <v>53</v>
      </c>
      <c r="I1109" t="s">
        <v>48</v>
      </c>
      <c r="J1109" t="s">
        <v>59</v>
      </c>
    </row>
    <row r="1110" spans="1:10" x14ac:dyDescent="0.45">
      <c r="A1110" t="s">
        <v>1624</v>
      </c>
      <c r="B1110" s="2">
        <v>46112</v>
      </c>
      <c r="C1110" t="s">
        <v>120</v>
      </c>
      <c r="D1110" t="s">
        <v>246</v>
      </c>
      <c r="E1110" t="s">
        <v>115</v>
      </c>
      <c r="F1110">
        <v>3</v>
      </c>
      <c r="G1110" s="3">
        <v>0.08</v>
      </c>
      <c r="H1110" t="s">
        <v>53</v>
      </c>
      <c r="I1110" t="s">
        <v>48</v>
      </c>
      <c r="J1110" t="s">
        <v>21</v>
      </c>
    </row>
    <row r="1111" spans="1:10" x14ac:dyDescent="0.45">
      <c r="A1111" t="s">
        <v>1625</v>
      </c>
      <c r="B1111" s="2">
        <v>45763</v>
      </c>
      <c r="C1111" t="s">
        <v>204</v>
      </c>
      <c r="D1111" t="s">
        <v>320</v>
      </c>
      <c r="E1111" t="s">
        <v>140</v>
      </c>
      <c r="F1111">
        <v>11</v>
      </c>
      <c r="G1111" s="3">
        <v>0.2</v>
      </c>
      <c r="H1111" t="s">
        <v>14</v>
      </c>
      <c r="I1111" t="s">
        <v>15</v>
      </c>
      <c r="J1111" t="s">
        <v>21</v>
      </c>
    </row>
    <row r="1112" spans="1:10" x14ac:dyDescent="0.45">
      <c r="A1112" t="s">
        <v>1626</v>
      </c>
      <c r="B1112" s="2">
        <v>46123</v>
      </c>
      <c r="C1112" t="s">
        <v>1032</v>
      </c>
      <c r="D1112" t="s">
        <v>164</v>
      </c>
      <c r="E1112" t="s">
        <v>111</v>
      </c>
      <c r="F1112">
        <v>3</v>
      </c>
      <c r="G1112" s="3">
        <v>0</v>
      </c>
      <c r="H1112" t="s">
        <v>53</v>
      </c>
      <c r="I1112" t="s">
        <v>27</v>
      </c>
      <c r="J1112" t="s">
        <v>36</v>
      </c>
    </row>
    <row r="1113" spans="1:10" x14ac:dyDescent="0.45">
      <c r="A1113" t="s">
        <v>1627</v>
      </c>
      <c r="B1113" s="2">
        <v>45773</v>
      </c>
      <c r="C1113" t="s">
        <v>661</v>
      </c>
      <c r="D1113" t="s">
        <v>161</v>
      </c>
      <c r="E1113" t="s">
        <v>152</v>
      </c>
      <c r="F1113">
        <v>11</v>
      </c>
      <c r="G1113" s="3">
        <v>0.2</v>
      </c>
      <c r="H1113" t="s">
        <v>14</v>
      </c>
      <c r="I1113" t="s">
        <v>54</v>
      </c>
      <c r="J1113" t="s">
        <v>36</v>
      </c>
    </row>
    <row r="1114" spans="1:10" x14ac:dyDescent="0.45">
      <c r="A1114" t="s">
        <v>1628</v>
      </c>
      <c r="B1114" s="2">
        <v>45956</v>
      </c>
      <c r="C1114" t="s">
        <v>453</v>
      </c>
      <c r="D1114" t="s">
        <v>210</v>
      </c>
      <c r="E1114" t="s">
        <v>40</v>
      </c>
      <c r="F1114">
        <v>4</v>
      </c>
      <c r="G1114" s="3">
        <v>0</v>
      </c>
      <c r="H1114" t="s">
        <v>14</v>
      </c>
      <c r="I1114" t="s">
        <v>27</v>
      </c>
      <c r="J1114" t="s">
        <v>21</v>
      </c>
    </row>
    <row r="1115" spans="1:10" x14ac:dyDescent="0.45">
      <c r="A1115" t="s">
        <v>1629</v>
      </c>
      <c r="B1115" s="2">
        <v>46100</v>
      </c>
      <c r="C1115" t="s">
        <v>1019</v>
      </c>
      <c r="D1115" t="s">
        <v>365</v>
      </c>
      <c r="E1115" t="s">
        <v>72</v>
      </c>
      <c r="F1115">
        <v>7</v>
      </c>
      <c r="G1115" s="3">
        <v>0</v>
      </c>
      <c r="H1115" t="s">
        <v>53</v>
      </c>
      <c r="I1115" t="s">
        <v>27</v>
      </c>
      <c r="J1115" t="s">
        <v>16</v>
      </c>
    </row>
    <row r="1116" spans="1:10" x14ac:dyDescent="0.45">
      <c r="A1116" t="s">
        <v>1630</v>
      </c>
      <c r="B1116" s="2">
        <v>46178</v>
      </c>
      <c r="C1116" t="s">
        <v>373</v>
      </c>
      <c r="D1116" t="s">
        <v>205</v>
      </c>
      <c r="E1116" t="s">
        <v>152</v>
      </c>
      <c r="F1116">
        <v>6</v>
      </c>
      <c r="G1116" s="3">
        <v>0.15</v>
      </c>
      <c r="H1116" t="s">
        <v>53</v>
      </c>
      <c r="I1116" t="s">
        <v>27</v>
      </c>
      <c r="J1116" t="s">
        <v>107</v>
      </c>
    </row>
    <row r="1117" spans="1:10" x14ac:dyDescent="0.45">
      <c r="A1117" t="s">
        <v>1631</v>
      </c>
      <c r="B1117" s="2">
        <v>46155</v>
      </c>
      <c r="C1117" t="s">
        <v>142</v>
      </c>
      <c r="D1117" t="s">
        <v>110</v>
      </c>
      <c r="E1117" t="s">
        <v>31</v>
      </c>
      <c r="F1117">
        <v>4</v>
      </c>
      <c r="G1117" s="3">
        <v>0.2</v>
      </c>
      <c r="H1117" t="s">
        <v>14</v>
      </c>
      <c r="I1117" t="s">
        <v>15</v>
      </c>
      <c r="J1117" t="s">
        <v>21</v>
      </c>
    </row>
    <row r="1118" spans="1:10" x14ac:dyDescent="0.45">
      <c r="A1118" t="s">
        <v>1632</v>
      </c>
      <c r="B1118" s="2">
        <v>46042</v>
      </c>
      <c r="C1118" t="s">
        <v>1207</v>
      </c>
      <c r="D1118" t="s">
        <v>210</v>
      </c>
      <c r="E1118" t="s">
        <v>52</v>
      </c>
      <c r="F1118">
        <v>10</v>
      </c>
      <c r="G1118" s="3">
        <v>0.15</v>
      </c>
      <c r="H1118" t="s">
        <v>14</v>
      </c>
      <c r="I1118" t="s">
        <v>48</v>
      </c>
      <c r="J1118" t="s">
        <v>21</v>
      </c>
    </row>
    <row r="1119" spans="1:10" x14ac:dyDescent="0.45">
      <c r="A1119" t="s">
        <v>1633</v>
      </c>
      <c r="B1119" s="2">
        <v>45755</v>
      </c>
      <c r="C1119" t="s">
        <v>591</v>
      </c>
      <c r="D1119" t="s">
        <v>143</v>
      </c>
      <c r="E1119" t="s">
        <v>197</v>
      </c>
      <c r="F1119">
        <v>2</v>
      </c>
      <c r="G1119" s="3">
        <v>0.05</v>
      </c>
      <c r="H1119" t="s">
        <v>14</v>
      </c>
      <c r="I1119" t="s">
        <v>15</v>
      </c>
      <c r="J1119" t="s">
        <v>16</v>
      </c>
    </row>
    <row r="1120" spans="1:10" x14ac:dyDescent="0.45">
      <c r="A1120" t="s">
        <v>1634</v>
      </c>
      <c r="B1120" s="2">
        <v>46108</v>
      </c>
      <c r="C1120" t="s">
        <v>67</v>
      </c>
      <c r="D1120" t="s">
        <v>348</v>
      </c>
      <c r="E1120" t="s">
        <v>58</v>
      </c>
      <c r="F1120">
        <v>8</v>
      </c>
      <c r="G1120" s="3">
        <v>0</v>
      </c>
      <c r="H1120" t="s">
        <v>26</v>
      </c>
      <c r="I1120" t="s">
        <v>15</v>
      </c>
      <c r="J1120" t="s">
        <v>21</v>
      </c>
    </row>
    <row r="1121" spans="1:10" x14ac:dyDescent="0.45">
      <c r="A1121" t="s">
        <v>1635</v>
      </c>
      <c r="B1121" s="2">
        <v>45843</v>
      </c>
      <c r="C1121" t="s">
        <v>317</v>
      </c>
      <c r="D1121" t="s">
        <v>130</v>
      </c>
      <c r="E1121" t="s">
        <v>197</v>
      </c>
      <c r="F1121">
        <v>1</v>
      </c>
      <c r="G1121" s="3">
        <v>0.1</v>
      </c>
      <c r="H1121" t="s">
        <v>14</v>
      </c>
      <c r="I1121" t="s">
        <v>15</v>
      </c>
      <c r="J1121" t="s">
        <v>16</v>
      </c>
    </row>
    <row r="1122" spans="1:10" x14ac:dyDescent="0.45">
      <c r="A1122" t="s">
        <v>1636</v>
      </c>
      <c r="B1122" s="2">
        <v>46025</v>
      </c>
      <c r="C1122" t="s">
        <v>471</v>
      </c>
      <c r="D1122" t="s">
        <v>75</v>
      </c>
      <c r="E1122" t="s">
        <v>152</v>
      </c>
      <c r="F1122">
        <v>11</v>
      </c>
      <c r="G1122" s="3">
        <v>0.1</v>
      </c>
      <c r="H1122" t="s">
        <v>14</v>
      </c>
      <c r="I1122" t="s">
        <v>54</v>
      </c>
      <c r="J1122" t="s">
        <v>21</v>
      </c>
    </row>
    <row r="1123" spans="1:10" x14ac:dyDescent="0.45">
      <c r="A1123" t="s">
        <v>1637</v>
      </c>
      <c r="B1123" s="2">
        <v>46127</v>
      </c>
      <c r="C1123" t="s">
        <v>105</v>
      </c>
      <c r="D1123" t="s">
        <v>529</v>
      </c>
      <c r="E1123" t="s">
        <v>281</v>
      </c>
      <c r="F1123">
        <v>12</v>
      </c>
      <c r="G1123" s="3">
        <v>0.08</v>
      </c>
      <c r="H1123" t="s">
        <v>53</v>
      </c>
      <c r="I1123" t="s">
        <v>54</v>
      </c>
      <c r="J1123" t="s">
        <v>21</v>
      </c>
    </row>
    <row r="1124" spans="1:10" x14ac:dyDescent="0.45">
      <c r="A1124" t="s">
        <v>1638</v>
      </c>
      <c r="B1124" s="2">
        <v>45987</v>
      </c>
      <c r="C1124" t="s">
        <v>817</v>
      </c>
      <c r="D1124" t="s">
        <v>43</v>
      </c>
      <c r="E1124" t="s">
        <v>25</v>
      </c>
      <c r="F1124">
        <v>12</v>
      </c>
      <c r="G1124" s="3">
        <v>0.15</v>
      </c>
      <c r="H1124" t="s">
        <v>53</v>
      </c>
      <c r="I1124" t="s">
        <v>54</v>
      </c>
      <c r="J1124" t="s">
        <v>16</v>
      </c>
    </row>
    <row r="1125" spans="1:10" x14ac:dyDescent="0.45">
      <c r="A1125" t="s">
        <v>1639</v>
      </c>
      <c r="B1125" s="2">
        <v>45891</v>
      </c>
      <c r="C1125" t="s">
        <v>1061</v>
      </c>
      <c r="D1125" t="s">
        <v>148</v>
      </c>
      <c r="E1125" t="s">
        <v>58</v>
      </c>
      <c r="F1125">
        <v>6</v>
      </c>
      <c r="G1125" s="3">
        <v>0.08</v>
      </c>
      <c r="H1125" t="s">
        <v>14</v>
      </c>
      <c r="I1125" t="s">
        <v>48</v>
      </c>
      <c r="J1125" t="s">
        <v>21</v>
      </c>
    </row>
    <row r="1126" spans="1:10" x14ac:dyDescent="0.45">
      <c r="A1126" t="s">
        <v>1640</v>
      </c>
      <c r="B1126" s="2">
        <v>45848</v>
      </c>
      <c r="C1126" t="s">
        <v>1431</v>
      </c>
      <c r="D1126" t="s">
        <v>30</v>
      </c>
      <c r="E1126" t="s">
        <v>47</v>
      </c>
      <c r="F1126">
        <v>7</v>
      </c>
      <c r="G1126" s="3">
        <v>0.05</v>
      </c>
      <c r="H1126" t="s">
        <v>14</v>
      </c>
      <c r="I1126" t="s">
        <v>15</v>
      </c>
      <c r="J1126" t="s">
        <v>21</v>
      </c>
    </row>
    <row r="1127" spans="1:10" x14ac:dyDescent="0.45">
      <c r="A1127" t="s">
        <v>1641</v>
      </c>
      <c r="B1127" s="2">
        <v>45821</v>
      </c>
      <c r="C1127" t="s">
        <v>1578</v>
      </c>
      <c r="D1127" t="s">
        <v>500</v>
      </c>
      <c r="E1127" t="s">
        <v>58</v>
      </c>
      <c r="F1127">
        <v>3</v>
      </c>
      <c r="G1127" s="3">
        <v>0.1</v>
      </c>
      <c r="H1127" t="s">
        <v>14</v>
      </c>
      <c r="I1127" t="s">
        <v>54</v>
      </c>
      <c r="J1127" t="s">
        <v>21</v>
      </c>
    </row>
    <row r="1128" spans="1:10" x14ac:dyDescent="0.45">
      <c r="A1128" t="s">
        <v>1642</v>
      </c>
      <c r="B1128" s="2">
        <v>45840</v>
      </c>
      <c r="C1128" t="s">
        <v>269</v>
      </c>
      <c r="D1128" t="s">
        <v>502</v>
      </c>
      <c r="E1128" t="s">
        <v>101</v>
      </c>
      <c r="F1128">
        <v>7</v>
      </c>
      <c r="G1128" s="3">
        <v>0</v>
      </c>
      <c r="H1128" t="s">
        <v>14</v>
      </c>
      <c r="I1128" t="s">
        <v>48</v>
      </c>
      <c r="J1128" t="s">
        <v>59</v>
      </c>
    </row>
    <row r="1129" spans="1:10" x14ac:dyDescent="0.45">
      <c r="A1129" t="s">
        <v>1643</v>
      </c>
      <c r="B1129" s="2">
        <v>45807</v>
      </c>
      <c r="C1129" t="s">
        <v>533</v>
      </c>
      <c r="D1129" t="s">
        <v>380</v>
      </c>
      <c r="E1129" t="s">
        <v>152</v>
      </c>
      <c r="F1129">
        <v>12</v>
      </c>
      <c r="G1129" s="3">
        <v>0.1</v>
      </c>
      <c r="H1129" t="s">
        <v>14</v>
      </c>
      <c r="I1129" t="s">
        <v>15</v>
      </c>
      <c r="J1129" t="s">
        <v>21</v>
      </c>
    </row>
    <row r="1130" spans="1:10" x14ac:dyDescent="0.45">
      <c r="A1130" t="s">
        <v>1644</v>
      </c>
      <c r="B1130" s="2">
        <v>45958</v>
      </c>
      <c r="C1130" t="s">
        <v>1271</v>
      </c>
      <c r="D1130" t="s">
        <v>12</v>
      </c>
      <c r="E1130" t="s">
        <v>111</v>
      </c>
      <c r="F1130">
        <v>10</v>
      </c>
      <c r="G1130" s="3">
        <v>0</v>
      </c>
      <c r="H1130" t="s">
        <v>14</v>
      </c>
      <c r="I1130" t="s">
        <v>54</v>
      </c>
      <c r="J1130" t="s">
        <v>21</v>
      </c>
    </row>
    <row r="1131" spans="1:10" x14ac:dyDescent="0.45">
      <c r="A1131" t="s">
        <v>1645</v>
      </c>
      <c r="B1131" s="2">
        <v>45816</v>
      </c>
      <c r="C1131" t="s">
        <v>661</v>
      </c>
      <c r="D1131" t="s">
        <v>410</v>
      </c>
      <c r="E1131" t="s">
        <v>52</v>
      </c>
      <c r="F1131">
        <v>11</v>
      </c>
      <c r="G1131" s="3">
        <v>0.08</v>
      </c>
      <c r="H1131" t="s">
        <v>14</v>
      </c>
      <c r="I1131" t="s">
        <v>54</v>
      </c>
      <c r="J1131" t="s">
        <v>16</v>
      </c>
    </row>
    <row r="1132" spans="1:10" x14ac:dyDescent="0.45">
      <c r="A1132" t="s">
        <v>1646</v>
      </c>
      <c r="B1132" s="2">
        <v>46108</v>
      </c>
      <c r="C1132" t="s">
        <v>334</v>
      </c>
      <c r="D1132" t="s">
        <v>410</v>
      </c>
      <c r="E1132" t="s">
        <v>218</v>
      </c>
      <c r="F1132">
        <v>11</v>
      </c>
      <c r="G1132" s="3">
        <v>0.05</v>
      </c>
      <c r="H1132" t="s">
        <v>14</v>
      </c>
      <c r="I1132" t="s">
        <v>27</v>
      </c>
      <c r="J1132" t="s">
        <v>21</v>
      </c>
    </row>
    <row r="1133" spans="1:10" x14ac:dyDescent="0.45">
      <c r="A1133" t="s">
        <v>1647</v>
      </c>
      <c r="B1133" s="2">
        <v>46107</v>
      </c>
      <c r="C1133" t="s">
        <v>950</v>
      </c>
      <c r="D1133" t="s">
        <v>34</v>
      </c>
      <c r="E1133" t="s">
        <v>47</v>
      </c>
      <c r="F1133">
        <v>7</v>
      </c>
      <c r="G1133" s="3">
        <v>0.05</v>
      </c>
      <c r="H1133" t="s">
        <v>14</v>
      </c>
      <c r="I1133" t="s">
        <v>15</v>
      </c>
      <c r="J1133" t="s">
        <v>21</v>
      </c>
    </row>
    <row r="1134" spans="1:10" x14ac:dyDescent="0.45">
      <c r="A1134" t="s">
        <v>1648</v>
      </c>
      <c r="B1134" s="2">
        <v>46030</v>
      </c>
      <c r="C1134" t="s">
        <v>1649</v>
      </c>
      <c r="D1134" t="s">
        <v>24</v>
      </c>
      <c r="E1134" t="s">
        <v>72</v>
      </c>
      <c r="F1134">
        <v>5</v>
      </c>
      <c r="G1134" s="3">
        <v>0.15</v>
      </c>
      <c r="H1134" t="s">
        <v>14</v>
      </c>
      <c r="I1134" t="s">
        <v>54</v>
      </c>
      <c r="J1134" t="s">
        <v>21</v>
      </c>
    </row>
    <row r="1135" spans="1:10" x14ac:dyDescent="0.45">
      <c r="A1135" t="s">
        <v>1650</v>
      </c>
      <c r="B1135" s="2">
        <v>45795</v>
      </c>
      <c r="C1135" t="s">
        <v>175</v>
      </c>
      <c r="D1135" t="s">
        <v>39</v>
      </c>
      <c r="E1135" t="s">
        <v>72</v>
      </c>
      <c r="F1135">
        <v>6</v>
      </c>
      <c r="G1135" s="3">
        <v>0.05</v>
      </c>
      <c r="H1135" t="s">
        <v>53</v>
      </c>
      <c r="I1135" t="s">
        <v>54</v>
      </c>
      <c r="J1135" t="s">
        <v>21</v>
      </c>
    </row>
    <row r="1136" spans="1:10" x14ac:dyDescent="0.45">
      <c r="A1136" t="s">
        <v>1651</v>
      </c>
      <c r="B1136" s="2">
        <v>46145</v>
      </c>
      <c r="C1136" t="s">
        <v>105</v>
      </c>
      <c r="D1136" t="s">
        <v>233</v>
      </c>
      <c r="E1136" t="s">
        <v>72</v>
      </c>
      <c r="F1136">
        <v>9</v>
      </c>
      <c r="G1136" s="3">
        <v>0.1</v>
      </c>
      <c r="H1136" t="s">
        <v>14</v>
      </c>
      <c r="I1136" t="s">
        <v>54</v>
      </c>
      <c r="J1136" t="s">
        <v>59</v>
      </c>
    </row>
    <row r="1137" spans="1:10" x14ac:dyDescent="0.45">
      <c r="A1137" t="s">
        <v>1652</v>
      </c>
      <c r="B1137" s="2">
        <v>46134</v>
      </c>
      <c r="C1137" t="s">
        <v>67</v>
      </c>
      <c r="D1137" t="s">
        <v>43</v>
      </c>
      <c r="E1137" t="s">
        <v>218</v>
      </c>
      <c r="F1137">
        <v>5</v>
      </c>
      <c r="G1137" s="3">
        <v>0</v>
      </c>
      <c r="H1137" t="s">
        <v>14</v>
      </c>
      <c r="I1137" t="s">
        <v>15</v>
      </c>
      <c r="J1137" t="s">
        <v>21</v>
      </c>
    </row>
    <row r="1138" spans="1:10" x14ac:dyDescent="0.45">
      <c r="A1138" t="s">
        <v>1653</v>
      </c>
      <c r="B1138" s="2">
        <v>45680</v>
      </c>
      <c r="C1138" t="s">
        <v>844</v>
      </c>
      <c r="D1138" t="s">
        <v>277</v>
      </c>
      <c r="E1138" t="s">
        <v>144</v>
      </c>
      <c r="F1138">
        <v>9</v>
      </c>
      <c r="G1138" s="3">
        <v>0.2</v>
      </c>
      <c r="H1138" t="s">
        <v>14</v>
      </c>
      <c r="I1138" t="s">
        <v>48</v>
      </c>
      <c r="J1138" t="s">
        <v>36</v>
      </c>
    </row>
    <row r="1139" spans="1:10" x14ac:dyDescent="0.45">
      <c r="A1139" t="s">
        <v>1654</v>
      </c>
      <c r="B1139" s="2">
        <v>46020</v>
      </c>
      <c r="C1139" t="s">
        <v>1655</v>
      </c>
      <c r="D1139" t="s">
        <v>167</v>
      </c>
      <c r="E1139" t="s">
        <v>127</v>
      </c>
      <c r="F1139">
        <v>2</v>
      </c>
      <c r="G1139" s="3">
        <v>0.08</v>
      </c>
      <c r="H1139" t="s">
        <v>14</v>
      </c>
      <c r="I1139" t="s">
        <v>48</v>
      </c>
      <c r="J1139" t="s">
        <v>59</v>
      </c>
    </row>
    <row r="1140" spans="1:10" x14ac:dyDescent="0.45">
      <c r="A1140" t="s">
        <v>1656</v>
      </c>
      <c r="B1140" s="2">
        <v>45794</v>
      </c>
      <c r="C1140" t="s">
        <v>330</v>
      </c>
      <c r="D1140" t="s">
        <v>235</v>
      </c>
      <c r="E1140" t="s">
        <v>72</v>
      </c>
      <c r="F1140">
        <v>7</v>
      </c>
      <c r="G1140" s="3">
        <v>0.05</v>
      </c>
      <c r="H1140" t="s">
        <v>53</v>
      </c>
      <c r="I1140" t="s">
        <v>27</v>
      </c>
      <c r="J1140" t="s">
        <v>21</v>
      </c>
    </row>
    <row r="1141" spans="1:10" x14ac:dyDescent="0.45">
      <c r="A1141" t="s">
        <v>1657</v>
      </c>
      <c r="B1141" s="2">
        <v>45896</v>
      </c>
      <c r="C1141" t="s">
        <v>716</v>
      </c>
      <c r="D1141" t="s">
        <v>391</v>
      </c>
      <c r="E1141" t="s">
        <v>281</v>
      </c>
      <c r="F1141">
        <v>10</v>
      </c>
      <c r="G1141" s="3">
        <v>0.15</v>
      </c>
      <c r="H1141" t="s">
        <v>14</v>
      </c>
      <c r="I1141" t="s">
        <v>27</v>
      </c>
      <c r="J1141" t="s">
        <v>36</v>
      </c>
    </row>
    <row r="1142" spans="1:10" x14ac:dyDescent="0.45">
      <c r="A1142" t="s">
        <v>1658</v>
      </c>
      <c r="B1142" s="2">
        <v>46024</v>
      </c>
      <c r="C1142" t="s">
        <v>616</v>
      </c>
      <c r="D1142" t="s">
        <v>529</v>
      </c>
      <c r="E1142" t="s">
        <v>72</v>
      </c>
      <c r="F1142">
        <v>10</v>
      </c>
      <c r="G1142" s="3">
        <v>0</v>
      </c>
      <c r="H1142" t="s">
        <v>53</v>
      </c>
      <c r="I1142" t="s">
        <v>48</v>
      </c>
      <c r="J1142" t="s">
        <v>21</v>
      </c>
    </row>
    <row r="1143" spans="1:10" x14ac:dyDescent="0.45">
      <c r="A1143" t="s">
        <v>1659</v>
      </c>
      <c r="B1143" s="2">
        <v>45823</v>
      </c>
      <c r="C1143" t="s">
        <v>1660</v>
      </c>
      <c r="D1143" t="s">
        <v>68</v>
      </c>
      <c r="E1143" t="s">
        <v>111</v>
      </c>
      <c r="F1143">
        <v>12</v>
      </c>
      <c r="G1143" s="3">
        <v>0.05</v>
      </c>
      <c r="H1143" t="s">
        <v>14</v>
      </c>
      <c r="I1143" t="s">
        <v>54</v>
      </c>
      <c r="J1143" t="s">
        <v>16</v>
      </c>
    </row>
    <row r="1144" spans="1:10" x14ac:dyDescent="0.45">
      <c r="A1144" t="s">
        <v>1661</v>
      </c>
      <c r="B1144" s="2">
        <v>45780</v>
      </c>
      <c r="C1144" t="s">
        <v>974</v>
      </c>
      <c r="D1144" t="s">
        <v>365</v>
      </c>
      <c r="E1144" t="s">
        <v>111</v>
      </c>
      <c r="F1144">
        <v>6</v>
      </c>
      <c r="G1144" s="3">
        <v>0</v>
      </c>
      <c r="H1144" t="s">
        <v>14</v>
      </c>
      <c r="I1144" t="s">
        <v>15</v>
      </c>
      <c r="J1144" t="s">
        <v>21</v>
      </c>
    </row>
    <row r="1145" spans="1:10" x14ac:dyDescent="0.45">
      <c r="A1145" t="s">
        <v>1662</v>
      </c>
      <c r="B1145" s="2">
        <v>46048</v>
      </c>
      <c r="C1145" t="s">
        <v>429</v>
      </c>
      <c r="D1145" t="s">
        <v>456</v>
      </c>
      <c r="E1145" t="s">
        <v>13</v>
      </c>
      <c r="F1145">
        <v>12</v>
      </c>
      <c r="G1145" s="3">
        <v>0.2</v>
      </c>
      <c r="H1145" t="s">
        <v>14</v>
      </c>
      <c r="I1145" t="s">
        <v>27</v>
      </c>
      <c r="J1145" t="s">
        <v>21</v>
      </c>
    </row>
    <row r="1146" spans="1:10" x14ac:dyDescent="0.45">
      <c r="A1146" t="s">
        <v>1663</v>
      </c>
      <c r="B1146" s="2">
        <v>46098</v>
      </c>
      <c r="C1146" t="s">
        <v>427</v>
      </c>
      <c r="D1146" t="s">
        <v>158</v>
      </c>
      <c r="E1146" t="s">
        <v>144</v>
      </c>
      <c r="F1146">
        <v>5</v>
      </c>
      <c r="G1146" s="3">
        <v>0.2</v>
      </c>
      <c r="H1146" t="s">
        <v>14</v>
      </c>
      <c r="I1146" t="s">
        <v>27</v>
      </c>
      <c r="J1146" t="s">
        <v>21</v>
      </c>
    </row>
    <row r="1147" spans="1:10" x14ac:dyDescent="0.45">
      <c r="A1147" t="s">
        <v>1664</v>
      </c>
      <c r="B1147" s="2">
        <v>45741</v>
      </c>
      <c r="C1147" t="s">
        <v>1343</v>
      </c>
      <c r="D1147" t="s">
        <v>170</v>
      </c>
      <c r="E1147" t="s">
        <v>25</v>
      </c>
      <c r="F1147">
        <v>6</v>
      </c>
      <c r="G1147" s="3">
        <v>0.2</v>
      </c>
      <c r="H1147" t="s">
        <v>53</v>
      </c>
      <c r="I1147" t="s">
        <v>27</v>
      </c>
      <c r="J1147" t="s">
        <v>21</v>
      </c>
    </row>
    <row r="1148" spans="1:10" x14ac:dyDescent="0.45">
      <c r="A1148" t="s">
        <v>1665</v>
      </c>
      <c r="B1148" s="2">
        <v>45718</v>
      </c>
      <c r="C1148" t="s">
        <v>795</v>
      </c>
      <c r="D1148" t="s">
        <v>221</v>
      </c>
      <c r="E1148" t="s">
        <v>52</v>
      </c>
      <c r="F1148">
        <v>11</v>
      </c>
      <c r="G1148" s="3">
        <v>0.1</v>
      </c>
      <c r="H1148" t="s">
        <v>14</v>
      </c>
      <c r="I1148" t="s">
        <v>48</v>
      </c>
      <c r="J1148" t="s">
        <v>107</v>
      </c>
    </row>
    <row r="1149" spans="1:10" x14ac:dyDescent="0.45">
      <c r="A1149" t="s">
        <v>1666</v>
      </c>
      <c r="B1149" s="2">
        <v>45992</v>
      </c>
      <c r="C1149" t="s">
        <v>1667</v>
      </c>
      <c r="D1149" t="s">
        <v>110</v>
      </c>
      <c r="E1149" t="s">
        <v>97</v>
      </c>
      <c r="F1149">
        <v>7</v>
      </c>
      <c r="G1149" s="3">
        <v>0.08</v>
      </c>
      <c r="H1149" t="s">
        <v>14</v>
      </c>
      <c r="I1149" t="s">
        <v>27</v>
      </c>
      <c r="J1149" t="s">
        <v>36</v>
      </c>
    </row>
    <row r="1150" spans="1:10" x14ac:dyDescent="0.45">
      <c r="A1150" t="s">
        <v>1668</v>
      </c>
      <c r="B1150" s="2">
        <v>46168</v>
      </c>
      <c r="C1150" t="s">
        <v>117</v>
      </c>
      <c r="D1150" t="s">
        <v>71</v>
      </c>
      <c r="E1150" t="s">
        <v>25</v>
      </c>
      <c r="F1150">
        <v>3</v>
      </c>
      <c r="G1150" s="3">
        <v>0.05</v>
      </c>
      <c r="H1150" t="s">
        <v>26</v>
      </c>
      <c r="I1150" t="s">
        <v>48</v>
      </c>
      <c r="J1150" t="s">
        <v>36</v>
      </c>
    </row>
    <row r="1151" spans="1:10" x14ac:dyDescent="0.45">
      <c r="A1151" t="s">
        <v>1669</v>
      </c>
      <c r="B1151" s="2">
        <v>45839</v>
      </c>
      <c r="C1151" t="s">
        <v>353</v>
      </c>
      <c r="D1151" t="s">
        <v>81</v>
      </c>
      <c r="E1151" t="s">
        <v>58</v>
      </c>
      <c r="F1151">
        <v>8</v>
      </c>
      <c r="G1151" s="3">
        <v>0.03</v>
      </c>
      <c r="H1151" t="s">
        <v>14</v>
      </c>
      <c r="I1151" t="s">
        <v>15</v>
      </c>
      <c r="J1151" t="s">
        <v>21</v>
      </c>
    </row>
    <row r="1152" spans="1:10" x14ac:dyDescent="0.45">
      <c r="A1152" t="s">
        <v>1670</v>
      </c>
      <c r="B1152" s="2">
        <v>45977</v>
      </c>
      <c r="C1152" t="s">
        <v>541</v>
      </c>
      <c r="D1152" t="s">
        <v>272</v>
      </c>
      <c r="E1152" t="s">
        <v>31</v>
      </c>
      <c r="F1152">
        <v>5</v>
      </c>
      <c r="G1152" s="3">
        <v>0</v>
      </c>
      <c r="H1152" t="s">
        <v>14</v>
      </c>
      <c r="I1152" t="s">
        <v>54</v>
      </c>
      <c r="J1152" t="s">
        <v>21</v>
      </c>
    </row>
    <row r="1153" spans="1:10" x14ac:dyDescent="0.45">
      <c r="A1153" t="s">
        <v>1671</v>
      </c>
      <c r="B1153" s="2">
        <v>45855</v>
      </c>
      <c r="C1153" t="s">
        <v>1527</v>
      </c>
      <c r="D1153" t="s">
        <v>143</v>
      </c>
      <c r="E1153" t="s">
        <v>47</v>
      </c>
      <c r="F1153">
        <v>10</v>
      </c>
      <c r="G1153" s="3">
        <v>0.03</v>
      </c>
      <c r="H1153" t="s">
        <v>26</v>
      </c>
      <c r="I1153" t="s">
        <v>27</v>
      </c>
      <c r="J1153" t="s">
        <v>36</v>
      </c>
    </row>
    <row r="1154" spans="1:10" x14ac:dyDescent="0.45">
      <c r="A1154" t="s">
        <v>1672</v>
      </c>
      <c r="B1154" s="2">
        <v>46116</v>
      </c>
      <c r="C1154" t="s">
        <v>418</v>
      </c>
      <c r="D1154" t="s">
        <v>43</v>
      </c>
      <c r="E1154" t="s">
        <v>136</v>
      </c>
      <c r="F1154">
        <v>2</v>
      </c>
      <c r="G1154" s="3">
        <v>0</v>
      </c>
      <c r="H1154" t="s">
        <v>14</v>
      </c>
      <c r="I1154" t="s">
        <v>27</v>
      </c>
      <c r="J1154" t="s">
        <v>21</v>
      </c>
    </row>
    <row r="1155" spans="1:10" x14ac:dyDescent="0.45">
      <c r="A1155" t="s">
        <v>1673</v>
      </c>
      <c r="B1155" s="2">
        <v>46071</v>
      </c>
      <c r="C1155" t="s">
        <v>524</v>
      </c>
      <c r="D1155" t="s">
        <v>210</v>
      </c>
      <c r="E1155" t="s">
        <v>115</v>
      </c>
      <c r="F1155">
        <v>1</v>
      </c>
      <c r="G1155" s="3">
        <v>0.1</v>
      </c>
      <c r="H1155" t="s">
        <v>14</v>
      </c>
      <c r="I1155" t="s">
        <v>15</v>
      </c>
      <c r="J1155" t="s">
        <v>16</v>
      </c>
    </row>
    <row r="1156" spans="1:10" x14ac:dyDescent="0.45">
      <c r="A1156" t="s">
        <v>1674</v>
      </c>
      <c r="B1156" s="2">
        <v>46190</v>
      </c>
      <c r="C1156" t="s">
        <v>418</v>
      </c>
      <c r="D1156" t="s">
        <v>191</v>
      </c>
      <c r="E1156" t="s">
        <v>31</v>
      </c>
      <c r="F1156">
        <v>2</v>
      </c>
      <c r="G1156" s="3">
        <v>0.1</v>
      </c>
      <c r="H1156" t="s">
        <v>26</v>
      </c>
      <c r="I1156" t="s">
        <v>15</v>
      </c>
      <c r="J1156" t="s">
        <v>59</v>
      </c>
    </row>
    <row r="1157" spans="1:10" x14ac:dyDescent="0.45">
      <c r="A1157" t="s">
        <v>1675</v>
      </c>
      <c r="B1157" s="2">
        <v>45986</v>
      </c>
      <c r="C1157" t="s">
        <v>212</v>
      </c>
      <c r="D1157" t="s">
        <v>430</v>
      </c>
      <c r="E1157" t="s">
        <v>101</v>
      </c>
      <c r="F1157">
        <v>3</v>
      </c>
      <c r="G1157" s="3">
        <v>0.2</v>
      </c>
      <c r="H1157" t="s">
        <v>53</v>
      </c>
      <c r="I1157" t="s">
        <v>27</v>
      </c>
      <c r="J1157" t="s">
        <v>107</v>
      </c>
    </row>
    <row r="1158" spans="1:10" x14ac:dyDescent="0.45">
      <c r="A1158" t="s">
        <v>1676</v>
      </c>
      <c r="B1158" s="2">
        <v>46044</v>
      </c>
      <c r="C1158" t="s">
        <v>1373</v>
      </c>
      <c r="D1158" t="s">
        <v>380</v>
      </c>
      <c r="E1158" t="s">
        <v>13</v>
      </c>
      <c r="F1158">
        <v>2</v>
      </c>
      <c r="G1158" s="3">
        <v>0.2</v>
      </c>
      <c r="H1158" t="s">
        <v>14</v>
      </c>
      <c r="I1158" t="s">
        <v>48</v>
      </c>
      <c r="J1158" t="s">
        <v>21</v>
      </c>
    </row>
    <row r="1159" spans="1:10" x14ac:dyDescent="0.45">
      <c r="A1159" t="s">
        <v>1677</v>
      </c>
      <c r="B1159" s="2">
        <v>45971</v>
      </c>
      <c r="C1159" t="s">
        <v>492</v>
      </c>
      <c r="D1159" t="s">
        <v>34</v>
      </c>
      <c r="E1159" t="s">
        <v>136</v>
      </c>
      <c r="F1159">
        <v>8</v>
      </c>
      <c r="G1159" s="3">
        <v>0.08</v>
      </c>
      <c r="H1159" t="s">
        <v>53</v>
      </c>
      <c r="I1159" t="s">
        <v>48</v>
      </c>
      <c r="J1159" t="s">
        <v>21</v>
      </c>
    </row>
    <row r="1160" spans="1:10" x14ac:dyDescent="0.45">
      <c r="A1160" t="s">
        <v>1678</v>
      </c>
      <c r="B1160" s="2">
        <v>45972</v>
      </c>
      <c r="C1160" t="s">
        <v>445</v>
      </c>
      <c r="D1160" t="s">
        <v>71</v>
      </c>
      <c r="E1160" t="s">
        <v>127</v>
      </c>
      <c r="F1160">
        <v>10</v>
      </c>
      <c r="G1160" s="3">
        <v>0.03</v>
      </c>
      <c r="H1160" t="s">
        <v>53</v>
      </c>
      <c r="I1160" t="s">
        <v>48</v>
      </c>
      <c r="J1160" t="s">
        <v>21</v>
      </c>
    </row>
    <row r="1161" spans="1:10" x14ac:dyDescent="0.45">
      <c r="A1161" t="s">
        <v>1679</v>
      </c>
      <c r="B1161" s="2">
        <v>45850</v>
      </c>
      <c r="C1161" t="s">
        <v>744</v>
      </c>
      <c r="D1161" t="s">
        <v>391</v>
      </c>
      <c r="E1161" t="s">
        <v>136</v>
      </c>
      <c r="F1161">
        <v>6</v>
      </c>
      <c r="G1161" s="3">
        <v>0</v>
      </c>
      <c r="H1161" t="s">
        <v>53</v>
      </c>
      <c r="I1161" t="s">
        <v>15</v>
      </c>
      <c r="J1161" t="s">
        <v>59</v>
      </c>
    </row>
    <row r="1162" spans="1:10" x14ac:dyDescent="0.45">
      <c r="A1162" t="s">
        <v>1680</v>
      </c>
      <c r="B1162" s="2">
        <v>46037</v>
      </c>
      <c r="C1162" t="s">
        <v>1128</v>
      </c>
      <c r="D1162" t="s">
        <v>185</v>
      </c>
      <c r="E1162" t="s">
        <v>140</v>
      </c>
      <c r="F1162">
        <v>11</v>
      </c>
      <c r="G1162" s="3">
        <v>0</v>
      </c>
      <c r="H1162" t="s">
        <v>26</v>
      </c>
      <c r="I1162" t="s">
        <v>48</v>
      </c>
      <c r="J1162" t="s">
        <v>21</v>
      </c>
    </row>
    <row r="1163" spans="1:10" x14ac:dyDescent="0.45">
      <c r="A1163" t="s">
        <v>1681</v>
      </c>
      <c r="B1163" s="2">
        <v>45985</v>
      </c>
      <c r="C1163" t="s">
        <v>360</v>
      </c>
      <c r="D1163" t="s">
        <v>614</v>
      </c>
      <c r="E1163" t="s">
        <v>72</v>
      </c>
      <c r="F1163">
        <v>2</v>
      </c>
      <c r="G1163" s="3">
        <v>0.05</v>
      </c>
      <c r="H1163" t="s">
        <v>14</v>
      </c>
      <c r="I1163" t="s">
        <v>48</v>
      </c>
      <c r="J1163" t="s">
        <v>21</v>
      </c>
    </row>
    <row r="1164" spans="1:10" x14ac:dyDescent="0.45">
      <c r="A1164" t="s">
        <v>1682</v>
      </c>
      <c r="B1164" s="2">
        <v>45777</v>
      </c>
      <c r="C1164" t="s">
        <v>930</v>
      </c>
      <c r="D1164" t="s">
        <v>249</v>
      </c>
      <c r="E1164" t="s">
        <v>72</v>
      </c>
      <c r="F1164">
        <v>5</v>
      </c>
      <c r="G1164" s="3">
        <v>0</v>
      </c>
      <c r="H1164" t="s">
        <v>26</v>
      </c>
      <c r="I1164" t="s">
        <v>27</v>
      </c>
      <c r="J1164" t="s">
        <v>107</v>
      </c>
    </row>
    <row r="1165" spans="1:10" x14ac:dyDescent="0.45">
      <c r="A1165" t="s">
        <v>1683</v>
      </c>
      <c r="B1165" s="2">
        <v>46069</v>
      </c>
      <c r="C1165" t="s">
        <v>154</v>
      </c>
      <c r="D1165" t="s">
        <v>151</v>
      </c>
      <c r="E1165" t="s">
        <v>58</v>
      </c>
      <c r="F1165">
        <v>1</v>
      </c>
      <c r="G1165" s="3">
        <v>0.03</v>
      </c>
      <c r="H1165" t="s">
        <v>14</v>
      </c>
      <c r="I1165" t="s">
        <v>54</v>
      </c>
      <c r="J1165" t="s">
        <v>21</v>
      </c>
    </row>
    <row r="1166" spans="1:10" x14ac:dyDescent="0.45">
      <c r="A1166" t="s">
        <v>1684</v>
      </c>
      <c r="B1166" s="2">
        <v>45975</v>
      </c>
      <c r="C1166" t="s">
        <v>276</v>
      </c>
      <c r="D1166" t="s">
        <v>295</v>
      </c>
      <c r="E1166" t="s">
        <v>20</v>
      </c>
      <c r="F1166">
        <v>4</v>
      </c>
      <c r="G1166" s="3">
        <v>0.08</v>
      </c>
      <c r="H1166" t="s">
        <v>14</v>
      </c>
      <c r="I1166" t="s">
        <v>48</v>
      </c>
      <c r="J1166" t="s">
        <v>21</v>
      </c>
    </row>
    <row r="1167" spans="1:10" x14ac:dyDescent="0.45">
      <c r="A1167" t="s">
        <v>1685</v>
      </c>
      <c r="B1167" s="2">
        <v>45852</v>
      </c>
      <c r="C1167" t="s">
        <v>50</v>
      </c>
      <c r="D1167" t="s">
        <v>161</v>
      </c>
      <c r="E1167" t="s">
        <v>152</v>
      </c>
      <c r="F1167">
        <v>8</v>
      </c>
      <c r="G1167" s="3">
        <v>0.08</v>
      </c>
      <c r="H1167" t="s">
        <v>53</v>
      </c>
      <c r="I1167" t="s">
        <v>15</v>
      </c>
      <c r="J1167" t="s">
        <v>21</v>
      </c>
    </row>
    <row r="1168" spans="1:10" x14ac:dyDescent="0.45">
      <c r="A1168" t="s">
        <v>1686</v>
      </c>
      <c r="B1168" s="2">
        <v>45886</v>
      </c>
      <c r="C1168" t="s">
        <v>377</v>
      </c>
      <c r="D1168" t="s">
        <v>62</v>
      </c>
      <c r="E1168" t="s">
        <v>225</v>
      </c>
      <c r="F1168">
        <v>2</v>
      </c>
      <c r="G1168" s="3">
        <v>0</v>
      </c>
      <c r="H1168" t="s">
        <v>14</v>
      </c>
      <c r="I1168" t="s">
        <v>15</v>
      </c>
      <c r="J1168" t="s">
        <v>21</v>
      </c>
    </row>
    <row r="1169" spans="1:10" x14ac:dyDescent="0.45">
      <c r="A1169" t="s">
        <v>1687</v>
      </c>
      <c r="B1169" s="2">
        <v>45920</v>
      </c>
      <c r="C1169" t="s">
        <v>482</v>
      </c>
      <c r="D1169" t="s">
        <v>135</v>
      </c>
      <c r="E1169" t="s">
        <v>144</v>
      </c>
      <c r="F1169">
        <v>11</v>
      </c>
      <c r="G1169" s="3">
        <v>0.15</v>
      </c>
      <c r="H1169" t="s">
        <v>14</v>
      </c>
      <c r="I1169" t="s">
        <v>27</v>
      </c>
      <c r="J1169" t="s">
        <v>21</v>
      </c>
    </row>
    <row r="1170" spans="1:10" x14ac:dyDescent="0.45">
      <c r="A1170" t="s">
        <v>1688</v>
      </c>
      <c r="B1170" s="2">
        <v>45780</v>
      </c>
      <c r="C1170" t="s">
        <v>916</v>
      </c>
      <c r="D1170" t="s">
        <v>24</v>
      </c>
      <c r="E1170" t="s">
        <v>31</v>
      </c>
      <c r="F1170">
        <v>7</v>
      </c>
      <c r="G1170" s="3">
        <v>0.05</v>
      </c>
      <c r="H1170" t="s">
        <v>26</v>
      </c>
      <c r="I1170" t="s">
        <v>15</v>
      </c>
      <c r="J1170" t="s">
        <v>21</v>
      </c>
    </row>
    <row r="1171" spans="1:10" x14ac:dyDescent="0.45">
      <c r="A1171" t="s">
        <v>1689</v>
      </c>
      <c r="B1171" s="2">
        <v>46148</v>
      </c>
      <c r="C1171" t="s">
        <v>1690</v>
      </c>
      <c r="D1171" t="s">
        <v>51</v>
      </c>
      <c r="E1171" t="s">
        <v>47</v>
      </c>
      <c r="F1171">
        <v>2</v>
      </c>
      <c r="G1171" s="3">
        <v>0</v>
      </c>
      <c r="H1171" t="s">
        <v>14</v>
      </c>
      <c r="I1171" t="s">
        <v>15</v>
      </c>
      <c r="J1171" t="s">
        <v>21</v>
      </c>
    </row>
    <row r="1172" spans="1:10" x14ac:dyDescent="0.45">
      <c r="A1172" t="s">
        <v>1691</v>
      </c>
      <c r="B1172" s="2">
        <v>46104</v>
      </c>
      <c r="C1172" t="s">
        <v>698</v>
      </c>
      <c r="D1172" t="s">
        <v>277</v>
      </c>
      <c r="E1172" t="s">
        <v>218</v>
      </c>
      <c r="F1172">
        <v>10</v>
      </c>
      <c r="G1172" s="3">
        <v>0.1</v>
      </c>
      <c r="H1172" t="s">
        <v>14</v>
      </c>
      <c r="I1172" t="s">
        <v>54</v>
      </c>
      <c r="J1172" t="s">
        <v>21</v>
      </c>
    </row>
    <row r="1173" spans="1:10" x14ac:dyDescent="0.45">
      <c r="A1173" t="s">
        <v>1692</v>
      </c>
      <c r="B1173" s="2">
        <v>46173</v>
      </c>
      <c r="C1173" t="s">
        <v>909</v>
      </c>
      <c r="D1173" t="s">
        <v>348</v>
      </c>
      <c r="E1173" t="s">
        <v>20</v>
      </c>
      <c r="F1173">
        <v>4</v>
      </c>
      <c r="G1173" s="3">
        <v>0.05</v>
      </c>
      <c r="H1173" t="s">
        <v>53</v>
      </c>
      <c r="I1173" t="s">
        <v>48</v>
      </c>
      <c r="J1173" t="s">
        <v>21</v>
      </c>
    </row>
    <row r="1174" spans="1:10" x14ac:dyDescent="0.45">
      <c r="A1174" t="s">
        <v>1693</v>
      </c>
      <c r="B1174" s="2">
        <v>45837</v>
      </c>
      <c r="C1174" t="s">
        <v>535</v>
      </c>
      <c r="D1174" t="s">
        <v>57</v>
      </c>
      <c r="E1174" t="s">
        <v>152</v>
      </c>
      <c r="F1174">
        <v>6</v>
      </c>
      <c r="G1174" s="3">
        <v>0.2</v>
      </c>
      <c r="H1174" t="s">
        <v>14</v>
      </c>
      <c r="I1174" t="s">
        <v>48</v>
      </c>
      <c r="J1174" t="s">
        <v>21</v>
      </c>
    </row>
    <row r="1175" spans="1:10" x14ac:dyDescent="0.45">
      <c r="A1175" t="s">
        <v>1694</v>
      </c>
      <c r="B1175" s="2">
        <v>45723</v>
      </c>
      <c r="C1175" t="s">
        <v>535</v>
      </c>
      <c r="D1175" t="s">
        <v>65</v>
      </c>
      <c r="E1175" t="s">
        <v>140</v>
      </c>
      <c r="F1175">
        <v>4</v>
      </c>
      <c r="G1175" s="3">
        <v>0.03</v>
      </c>
      <c r="H1175" t="s">
        <v>53</v>
      </c>
      <c r="I1175" t="s">
        <v>27</v>
      </c>
      <c r="J1175" t="s">
        <v>21</v>
      </c>
    </row>
    <row r="1176" spans="1:10" x14ac:dyDescent="0.45">
      <c r="A1176" t="s">
        <v>1695</v>
      </c>
      <c r="B1176" s="2">
        <v>45729</v>
      </c>
      <c r="C1176" t="s">
        <v>160</v>
      </c>
      <c r="D1176" t="s">
        <v>19</v>
      </c>
      <c r="E1176" t="s">
        <v>85</v>
      </c>
      <c r="F1176">
        <v>4</v>
      </c>
      <c r="G1176" s="3">
        <v>0.08</v>
      </c>
      <c r="H1176" t="s">
        <v>14</v>
      </c>
      <c r="I1176" t="s">
        <v>54</v>
      </c>
      <c r="J1176" t="s">
        <v>21</v>
      </c>
    </row>
    <row r="1177" spans="1:10" x14ac:dyDescent="0.45">
      <c r="A1177" t="s">
        <v>1696</v>
      </c>
      <c r="B1177" s="2">
        <v>45724</v>
      </c>
      <c r="C1177" t="s">
        <v>1697</v>
      </c>
      <c r="D1177" t="s">
        <v>221</v>
      </c>
      <c r="E1177" t="s">
        <v>31</v>
      </c>
      <c r="F1177">
        <v>7</v>
      </c>
      <c r="G1177" s="3">
        <v>0</v>
      </c>
      <c r="H1177" t="s">
        <v>53</v>
      </c>
      <c r="I1177" t="s">
        <v>54</v>
      </c>
      <c r="J1177" t="s">
        <v>59</v>
      </c>
    </row>
    <row r="1178" spans="1:10" x14ac:dyDescent="0.45">
      <c r="A1178" t="s">
        <v>1698</v>
      </c>
      <c r="B1178" s="2">
        <v>45804</v>
      </c>
      <c r="C1178" t="s">
        <v>1699</v>
      </c>
      <c r="D1178" t="s">
        <v>139</v>
      </c>
      <c r="E1178" t="s">
        <v>35</v>
      </c>
      <c r="F1178">
        <v>2</v>
      </c>
      <c r="G1178" s="3">
        <v>0.05</v>
      </c>
      <c r="H1178" t="s">
        <v>14</v>
      </c>
      <c r="I1178" t="s">
        <v>48</v>
      </c>
      <c r="J1178" t="s">
        <v>21</v>
      </c>
    </row>
    <row r="1179" spans="1:10" x14ac:dyDescent="0.45">
      <c r="A1179" t="s">
        <v>1700</v>
      </c>
      <c r="B1179" s="2">
        <v>45780</v>
      </c>
      <c r="C1179" t="s">
        <v>1319</v>
      </c>
      <c r="D1179" t="s">
        <v>456</v>
      </c>
      <c r="E1179" t="s">
        <v>40</v>
      </c>
      <c r="F1179">
        <v>4</v>
      </c>
      <c r="G1179" s="3">
        <v>0</v>
      </c>
      <c r="H1179" t="s">
        <v>14</v>
      </c>
      <c r="I1179" t="s">
        <v>48</v>
      </c>
      <c r="J1179" t="s">
        <v>21</v>
      </c>
    </row>
    <row r="1180" spans="1:10" x14ac:dyDescent="0.45">
      <c r="A1180" t="s">
        <v>1701</v>
      </c>
      <c r="B1180" s="2">
        <v>46053</v>
      </c>
      <c r="C1180" t="s">
        <v>559</v>
      </c>
      <c r="D1180" t="s">
        <v>94</v>
      </c>
      <c r="E1180" t="s">
        <v>25</v>
      </c>
      <c r="F1180">
        <v>5</v>
      </c>
      <c r="G1180" s="3">
        <v>0.15</v>
      </c>
      <c r="H1180" t="s">
        <v>14</v>
      </c>
      <c r="I1180" t="s">
        <v>54</v>
      </c>
      <c r="J1180" t="s">
        <v>59</v>
      </c>
    </row>
    <row r="1181" spans="1:10" x14ac:dyDescent="0.45">
      <c r="A1181" t="s">
        <v>1702</v>
      </c>
      <c r="B1181" s="2">
        <v>46123</v>
      </c>
      <c r="C1181" t="s">
        <v>18</v>
      </c>
      <c r="D1181" t="s">
        <v>121</v>
      </c>
      <c r="E1181" t="s">
        <v>58</v>
      </c>
      <c r="F1181">
        <v>8</v>
      </c>
      <c r="G1181" s="3">
        <v>0.03</v>
      </c>
      <c r="H1181" t="s">
        <v>14</v>
      </c>
      <c r="I1181" t="s">
        <v>27</v>
      </c>
      <c r="J1181" t="s">
        <v>21</v>
      </c>
    </row>
    <row r="1182" spans="1:10" x14ac:dyDescent="0.45">
      <c r="A1182" t="s">
        <v>1703</v>
      </c>
      <c r="B1182" s="2">
        <v>45921</v>
      </c>
      <c r="C1182" t="s">
        <v>1163</v>
      </c>
      <c r="D1182" t="s">
        <v>185</v>
      </c>
      <c r="E1182" t="s">
        <v>136</v>
      </c>
      <c r="F1182">
        <v>3</v>
      </c>
      <c r="G1182" s="3">
        <v>0.1</v>
      </c>
      <c r="H1182" t="s">
        <v>53</v>
      </c>
      <c r="I1182" t="s">
        <v>15</v>
      </c>
      <c r="J1182" t="s">
        <v>16</v>
      </c>
    </row>
    <row r="1183" spans="1:10" x14ac:dyDescent="0.45">
      <c r="A1183" t="s">
        <v>1704</v>
      </c>
      <c r="B1183" s="2">
        <v>46078</v>
      </c>
      <c r="C1183" t="s">
        <v>1177</v>
      </c>
      <c r="D1183" t="s">
        <v>348</v>
      </c>
      <c r="E1183" t="s">
        <v>85</v>
      </c>
      <c r="F1183">
        <v>12</v>
      </c>
      <c r="G1183" s="3">
        <v>0.05</v>
      </c>
      <c r="H1183" t="s">
        <v>26</v>
      </c>
      <c r="I1183" t="s">
        <v>54</v>
      </c>
      <c r="J1183" t="s">
        <v>16</v>
      </c>
    </row>
    <row r="1184" spans="1:10" x14ac:dyDescent="0.45">
      <c r="A1184" t="s">
        <v>1705</v>
      </c>
      <c r="B1184" s="2">
        <v>46089</v>
      </c>
      <c r="C1184" t="s">
        <v>734</v>
      </c>
      <c r="D1184" t="s">
        <v>249</v>
      </c>
      <c r="E1184" t="s">
        <v>136</v>
      </c>
      <c r="F1184">
        <v>7</v>
      </c>
      <c r="G1184" s="3">
        <v>0.2</v>
      </c>
      <c r="H1184" t="s">
        <v>53</v>
      </c>
      <c r="I1184" t="s">
        <v>15</v>
      </c>
      <c r="J1184" t="s">
        <v>107</v>
      </c>
    </row>
    <row r="1185" spans="1:10" x14ac:dyDescent="0.45">
      <c r="A1185" t="s">
        <v>1706</v>
      </c>
      <c r="B1185" s="2">
        <v>45991</v>
      </c>
      <c r="C1185" t="s">
        <v>896</v>
      </c>
      <c r="D1185" t="s">
        <v>202</v>
      </c>
      <c r="E1185" t="s">
        <v>281</v>
      </c>
      <c r="F1185">
        <v>11</v>
      </c>
      <c r="G1185" s="3">
        <v>0.15</v>
      </c>
      <c r="H1185" t="s">
        <v>14</v>
      </c>
      <c r="I1185" t="s">
        <v>54</v>
      </c>
      <c r="J1185" t="s">
        <v>21</v>
      </c>
    </row>
    <row r="1186" spans="1:10" x14ac:dyDescent="0.45">
      <c r="A1186" t="s">
        <v>1707</v>
      </c>
      <c r="B1186" s="2">
        <v>45857</v>
      </c>
      <c r="C1186" t="s">
        <v>422</v>
      </c>
      <c r="D1186" t="s">
        <v>71</v>
      </c>
      <c r="E1186" t="s">
        <v>197</v>
      </c>
      <c r="F1186">
        <v>12</v>
      </c>
      <c r="G1186" s="3">
        <v>0.1</v>
      </c>
      <c r="H1186" t="s">
        <v>26</v>
      </c>
      <c r="I1186" t="s">
        <v>15</v>
      </c>
      <c r="J1186" t="s">
        <v>21</v>
      </c>
    </row>
    <row r="1187" spans="1:10" x14ac:dyDescent="0.45">
      <c r="A1187" t="s">
        <v>1708</v>
      </c>
      <c r="B1187" s="2">
        <v>45802</v>
      </c>
      <c r="C1187" t="s">
        <v>251</v>
      </c>
      <c r="D1187" t="s">
        <v>130</v>
      </c>
      <c r="E1187" t="s">
        <v>136</v>
      </c>
      <c r="F1187">
        <v>8</v>
      </c>
      <c r="G1187" s="3">
        <v>0</v>
      </c>
      <c r="H1187" t="s">
        <v>14</v>
      </c>
      <c r="I1187" t="s">
        <v>15</v>
      </c>
      <c r="J1187" t="s">
        <v>21</v>
      </c>
    </row>
    <row r="1188" spans="1:10" x14ac:dyDescent="0.45">
      <c r="A1188" t="s">
        <v>1709</v>
      </c>
      <c r="B1188" s="2">
        <v>45710</v>
      </c>
      <c r="C1188" t="s">
        <v>123</v>
      </c>
      <c r="D1188" t="s">
        <v>30</v>
      </c>
      <c r="E1188" t="s">
        <v>13</v>
      </c>
      <c r="F1188">
        <v>4</v>
      </c>
      <c r="G1188" s="3">
        <v>0.05</v>
      </c>
      <c r="H1188" t="s">
        <v>14</v>
      </c>
      <c r="I1188" t="s">
        <v>54</v>
      </c>
      <c r="J1188" t="s">
        <v>21</v>
      </c>
    </row>
    <row r="1189" spans="1:10" x14ac:dyDescent="0.45">
      <c r="A1189" t="s">
        <v>1710</v>
      </c>
      <c r="B1189" s="2">
        <v>46111</v>
      </c>
      <c r="C1189" t="s">
        <v>138</v>
      </c>
      <c r="D1189" t="s">
        <v>235</v>
      </c>
      <c r="E1189" t="s">
        <v>144</v>
      </c>
      <c r="F1189">
        <v>1</v>
      </c>
      <c r="G1189" s="3">
        <v>0.05</v>
      </c>
      <c r="H1189" t="s">
        <v>14</v>
      </c>
      <c r="I1189" t="s">
        <v>54</v>
      </c>
      <c r="J1189" t="s">
        <v>21</v>
      </c>
    </row>
    <row r="1190" spans="1:10" x14ac:dyDescent="0.45">
      <c r="A1190" t="s">
        <v>1711</v>
      </c>
      <c r="B1190" s="2">
        <v>45817</v>
      </c>
      <c r="C1190" t="s">
        <v>1079</v>
      </c>
      <c r="D1190" t="s">
        <v>196</v>
      </c>
      <c r="E1190" t="s">
        <v>40</v>
      </c>
      <c r="F1190">
        <v>11</v>
      </c>
      <c r="G1190" s="3">
        <v>0.15</v>
      </c>
      <c r="H1190" t="s">
        <v>14</v>
      </c>
      <c r="I1190" t="s">
        <v>54</v>
      </c>
      <c r="J1190" t="s">
        <v>21</v>
      </c>
    </row>
    <row r="1191" spans="1:10" x14ac:dyDescent="0.45">
      <c r="A1191" t="s">
        <v>1712</v>
      </c>
      <c r="B1191" s="2">
        <v>45791</v>
      </c>
      <c r="C1191" t="s">
        <v>1697</v>
      </c>
      <c r="D1191" t="s">
        <v>449</v>
      </c>
      <c r="E1191" t="s">
        <v>218</v>
      </c>
      <c r="F1191">
        <v>8</v>
      </c>
      <c r="G1191" s="3">
        <v>0.1</v>
      </c>
      <c r="H1191" t="s">
        <v>53</v>
      </c>
      <c r="I1191" t="s">
        <v>48</v>
      </c>
      <c r="J1191" t="s">
        <v>59</v>
      </c>
    </row>
    <row r="1192" spans="1:10" x14ac:dyDescent="0.45">
      <c r="A1192" t="s">
        <v>1713</v>
      </c>
      <c r="B1192" s="2">
        <v>45679</v>
      </c>
      <c r="C1192" t="s">
        <v>99</v>
      </c>
      <c r="D1192" t="s">
        <v>277</v>
      </c>
      <c r="E1192" t="s">
        <v>127</v>
      </c>
      <c r="F1192">
        <v>1</v>
      </c>
      <c r="G1192" s="3">
        <v>0</v>
      </c>
      <c r="H1192" t="s">
        <v>14</v>
      </c>
      <c r="I1192" t="s">
        <v>48</v>
      </c>
      <c r="J1192" t="s">
        <v>21</v>
      </c>
    </row>
    <row r="1193" spans="1:10" x14ac:dyDescent="0.45">
      <c r="A1193" t="s">
        <v>1714</v>
      </c>
      <c r="B1193" s="2">
        <v>45812</v>
      </c>
      <c r="C1193" t="s">
        <v>175</v>
      </c>
      <c r="D1193" t="s">
        <v>430</v>
      </c>
      <c r="E1193" t="s">
        <v>111</v>
      </c>
      <c r="F1193">
        <v>4</v>
      </c>
      <c r="G1193" s="3">
        <v>0.08</v>
      </c>
      <c r="H1193" t="s">
        <v>53</v>
      </c>
      <c r="I1193" t="s">
        <v>27</v>
      </c>
      <c r="J1193" t="s">
        <v>21</v>
      </c>
    </row>
    <row r="1194" spans="1:10" x14ac:dyDescent="0.45">
      <c r="A1194" t="s">
        <v>1715</v>
      </c>
      <c r="B1194" s="2">
        <v>46144</v>
      </c>
      <c r="C1194" t="s">
        <v>382</v>
      </c>
      <c r="D1194" t="s">
        <v>78</v>
      </c>
      <c r="E1194" t="s">
        <v>85</v>
      </c>
      <c r="F1194">
        <v>6</v>
      </c>
      <c r="G1194" s="3">
        <v>0.03</v>
      </c>
      <c r="H1194" t="s">
        <v>14</v>
      </c>
      <c r="I1194" t="s">
        <v>48</v>
      </c>
      <c r="J1194" t="s">
        <v>16</v>
      </c>
    </row>
    <row r="1195" spans="1:10" x14ac:dyDescent="0.45">
      <c r="A1195" t="s">
        <v>1716</v>
      </c>
      <c r="B1195" s="2">
        <v>46083</v>
      </c>
      <c r="C1195" t="s">
        <v>11</v>
      </c>
      <c r="D1195" t="s">
        <v>246</v>
      </c>
      <c r="E1195" t="s">
        <v>144</v>
      </c>
      <c r="F1195">
        <v>2</v>
      </c>
      <c r="G1195" s="3">
        <v>0.15</v>
      </c>
      <c r="H1195" t="s">
        <v>14</v>
      </c>
      <c r="I1195" t="s">
        <v>15</v>
      </c>
      <c r="J1195" t="s">
        <v>59</v>
      </c>
    </row>
    <row r="1196" spans="1:10" x14ac:dyDescent="0.45">
      <c r="A1196" t="s">
        <v>1717</v>
      </c>
      <c r="B1196" s="2">
        <v>45808</v>
      </c>
      <c r="C1196" t="s">
        <v>1151</v>
      </c>
      <c r="D1196" t="s">
        <v>410</v>
      </c>
      <c r="E1196" t="s">
        <v>31</v>
      </c>
      <c r="F1196">
        <v>8</v>
      </c>
      <c r="G1196" s="3">
        <v>0</v>
      </c>
      <c r="H1196" t="s">
        <v>53</v>
      </c>
      <c r="I1196" t="s">
        <v>54</v>
      </c>
      <c r="J1196" t="s">
        <v>36</v>
      </c>
    </row>
    <row r="1197" spans="1:10" x14ac:dyDescent="0.45">
      <c r="A1197" t="s">
        <v>1718</v>
      </c>
      <c r="B1197" s="2">
        <v>45832</v>
      </c>
      <c r="C1197" t="s">
        <v>1175</v>
      </c>
      <c r="D1197" t="s">
        <v>161</v>
      </c>
      <c r="E1197" t="s">
        <v>47</v>
      </c>
      <c r="F1197">
        <v>1</v>
      </c>
      <c r="G1197" s="3">
        <v>0.1</v>
      </c>
      <c r="H1197" t="s">
        <v>26</v>
      </c>
      <c r="I1197" t="s">
        <v>54</v>
      </c>
      <c r="J1197" t="s">
        <v>21</v>
      </c>
    </row>
    <row r="1198" spans="1:10" x14ac:dyDescent="0.45">
      <c r="A1198" t="s">
        <v>1719</v>
      </c>
      <c r="B1198" s="2">
        <v>46010</v>
      </c>
      <c r="C1198" t="s">
        <v>950</v>
      </c>
      <c r="D1198" t="s">
        <v>210</v>
      </c>
      <c r="E1198" t="s">
        <v>20</v>
      </c>
      <c r="F1198">
        <v>6</v>
      </c>
      <c r="G1198" s="3">
        <v>0</v>
      </c>
      <c r="H1198" t="s">
        <v>53</v>
      </c>
      <c r="I1198" t="s">
        <v>48</v>
      </c>
      <c r="J1198" t="s">
        <v>21</v>
      </c>
    </row>
    <row r="1199" spans="1:10" x14ac:dyDescent="0.45">
      <c r="A1199" t="s">
        <v>1720</v>
      </c>
      <c r="B1199" s="2">
        <v>46061</v>
      </c>
      <c r="C1199" t="s">
        <v>1198</v>
      </c>
      <c r="D1199" t="s">
        <v>391</v>
      </c>
      <c r="E1199" t="s">
        <v>20</v>
      </c>
      <c r="F1199">
        <v>3</v>
      </c>
      <c r="G1199" s="3">
        <v>0</v>
      </c>
      <c r="H1199" t="s">
        <v>26</v>
      </c>
      <c r="I1199" t="s">
        <v>54</v>
      </c>
      <c r="J1199" t="s">
        <v>107</v>
      </c>
    </row>
    <row r="1200" spans="1:10" x14ac:dyDescent="0.45">
      <c r="A1200" t="s">
        <v>1721</v>
      </c>
      <c r="B1200" s="2">
        <v>45743</v>
      </c>
      <c r="C1200" t="s">
        <v>1699</v>
      </c>
      <c r="D1200" t="s">
        <v>65</v>
      </c>
      <c r="E1200" t="s">
        <v>72</v>
      </c>
      <c r="F1200">
        <v>6</v>
      </c>
      <c r="G1200" s="3">
        <v>0.2</v>
      </c>
      <c r="H1200" t="s">
        <v>14</v>
      </c>
      <c r="I1200" t="s">
        <v>15</v>
      </c>
      <c r="J1200" t="s">
        <v>107</v>
      </c>
    </row>
    <row r="1201" spans="1:10" x14ac:dyDescent="0.45">
      <c r="A1201" t="s">
        <v>1722</v>
      </c>
      <c r="B1201" s="2">
        <v>46183</v>
      </c>
      <c r="C1201" t="s">
        <v>1723</v>
      </c>
      <c r="D1201" t="s">
        <v>121</v>
      </c>
      <c r="E1201" t="s">
        <v>115</v>
      </c>
      <c r="F1201">
        <v>5</v>
      </c>
      <c r="G1201" s="3">
        <v>0</v>
      </c>
      <c r="H1201" t="s">
        <v>14</v>
      </c>
      <c r="I1201" t="s">
        <v>54</v>
      </c>
      <c r="J1201" t="s">
        <v>21</v>
      </c>
    </row>
    <row r="1202" spans="1:10" x14ac:dyDescent="0.45">
      <c r="A1202" t="s">
        <v>1724</v>
      </c>
      <c r="B1202" s="2">
        <v>46117</v>
      </c>
      <c r="C1202" t="s">
        <v>630</v>
      </c>
      <c r="D1202" t="s">
        <v>320</v>
      </c>
      <c r="E1202" t="s">
        <v>152</v>
      </c>
      <c r="F1202">
        <v>7</v>
      </c>
      <c r="G1202" s="3">
        <v>0.1</v>
      </c>
      <c r="H1202" t="s">
        <v>14</v>
      </c>
      <c r="I1202" t="s">
        <v>15</v>
      </c>
      <c r="J1202" t="s">
        <v>21</v>
      </c>
    </row>
    <row r="1203" spans="1:10" x14ac:dyDescent="0.45">
      <c r="A1203" t="s">
        <v>1725</v>
      </c>
      <c r="B1203" s="2">
        <v>45791</v>
      </c>
      <c r="C1203" t="s">
        <v>925</v>
      </c>
      <c r="D1203" t="s">
        <v>43</v>
      </c>
      <c r="E1203" t="s">
        <v>35</v>
      </c>
      <c r="F1203">
        <v>10</v>
      </c>
      <c r="G1203" s="3">
        <v>0</v>
      </c>
      <c r="H1203" t="s">
        <v>53</v>
      </c>
      <c r="I1203" t="s">
        <v>48</v>
      </c>
      <c r="J1203" t="s">
        <v>21</v>
      </c>
    </row>
    <row r="1204" spans="1:10" x14ac:dyDescent="0.45">
      <c r="A1204" t="s">
        <v>1726</v>
      </c>
      <c r="B1204" s="2">
        <v>46055</v>
      </c>
      <c r="C1204" t="s">
        <v>265</v>
      </c>
      <c r="D1204" t="s">
        <v>280</v>
      </c>
      <c r="E1204" t="s">
        <v>136</v>
      </c>
      <c r="F1204">
        <v>1</v>
      </c>
      <c r="G1204" s="3">
        <v>0.08</v>
      </c>
      <c r="H1204" t="s">
        <v>53</v>
      </c>
      <c r="I1204" t="s">
        <v>27</v>
      </c>
      <c r="J1204" t="s">
        <v>21</v>
      </c>
    </row>
    <row r="1205" spans="1:10" x14ac:dyDescent="0.45">
      <c r="A1205" t="s">
        <v>1727</v>
      </c>
      <c r="B1205" s="2">
        <v>46008</v>
      </c>
      <c r="C1205" t="s">
        <v>546</v>
      </c>
      <c r="D1205" t="s">
        <v>295</v>
      </c>
      <c r="E1205" t="s">
        <v>13</v>
      </c>
      <c r="F1205">
        <v>3</v>
      </c>
      <c r="G1205" s="3">
        <v>0.1</v>
      </c>
      <c r="H1205" t="s">
        <v>53</v>
      </c>
      <c r="I1205" t="s">
        <v>54</v>
      </c>
      <c r="J1205" t="s">
        <v>21</v>
      </c>
    </row>
    <row r="1206" spans="1:10" x14ac:dyDescent="0.45">
      <c r="A1206" t="s">
        <v>1728</v>
      </c>
      <c r="B1206" s="2">
        <v>45744</v>
      </c>
      <c r="C1206" t="s">
        <v>1729</v>
      </c>
      <c r="D1206" t="s">
        <v>241</v>
      </c>
      <c r="E1206" t="s">
        <v>85</v>
      </c>
      <c r="F1206">
        <v>11</v>
      </c>
      <c r="G1206" s="3">
        <v>0.1</v>
      </c>
      <c r="H1206" t="s">
        <v>53</v>
      </c>
      <c r="I1206" t="s">
        <v>48</v>
      </c>
      <c r="J1206" t="s">
        <v>21</v>
      </c>
    </row>
    <row r="1207" spans="1:10" x14ac:dyDescent="0.45">
      <c r="A1207" t="s">
        <v>1730</v>
      </c>
      <c r="B1207" s="2">
        <v>45734</v>
      </c>
      <c r="C1207" t="s">
        <v>800</v>
      </c>
      <c r="D1207" t="s">
        <v>12</v>
      </c>
      <c r="E1207" t="s">
        <v>218</v>
      </c>
      <c r="F1207">
        <v>3</v>
      </c>
      <c r="G1207" s="3">
        <v>0.1</v>
      </c>
      <c r="H1207" t="s">
        <v>14</v>
      </c>
      <c r="I1207" t="s">
        <v>54</v>
      </c>
      <c r="J1207" t="s">
        <v>16</v>
      </c>
    </row>
    <row r="1208" spans="1:10" x14ac:dyDescent="0.45">
      <c r="A1208" t="s">
        <v>1731</v>
      </c>
      <c r="B1208" s="2">
        <v>45671</v>
      </c>
      <c r="C1208" t="s">
        <v>569</v>
      </c>
      <c r="D1208" t="s">
        <v>110</v>
      </c>
      <c r="E1208" t="s">
        <v>111</v>
      </c>
      <c r="F1208">
        <v>12</v>
      </c>
      <c r="G1208" s="3">
        <v>0.1</v>
      </c>
      <c r="H1208" t="s">
        <v>53</v>
      </c>
      <c r="I1208" t="s">
        <v>48</v>
      </c>
      <c r="J1208" t="s">
        <v>21</v>
      </c>
    </row>
    <row r="1209" spans="1:10" x14ac:dyDescent="0.45">
      <c r="A1209" t="s">
        <v>1732</v>
      </c>
      <c r="B1209" s="2">
        <v>45996</v>
      </c>
      <c r="C1209" t="s">
        <v>187</v>
      </c>
      <c r="D1209" t="s">
        <v>75</v>
      </c>
      <c r="E1209" t="s">
        <v>25</v>
      </c>
      <c r="F1209">
        <v>11</v>
      </c>
      <c r="G1209" s="3">
        <v>0</v>
      </c>
      <c r="H1209" t="s">
        <v>53</v>
      </c>
      <c r="I1209" t="s">
        <v>48</v>
      </c>
      <c r="J1209" t="s">
        <v>59</v>
      </c>
    </row>
    <row r="1210" spans="1:10" x14ac:dyDescent="0.45">
      <c r="A1210" t="s">
        <v>1733</v>
      </c>
      <c r="B1210" s="2">
        <v>45751</v>
      </c>
      <c r="C1210" t="s">
        <v>265</v>
      </c>
      <c r="D1210" t="s">
        <v>241</v>
      </c>
      <c r="E1210" t="s">
        <v>144</v>
      </c>
      <c r="F1210">
        <v>12</v>
      </c>
      <c r="G1210" s="3">
        <v>0</v>
      </c>
      <c r="H1210" t="s">
        <v>14</v>
      </c>
      <c r="I1210" t="s">
        <v>54</v>
      </c>
      <c r="J1210" t="s">
        <v>21</v>
      </c>
    </row>
    <row r="1211" spans="1:10" x14ac:dyDescent="0.45">
      <c r="A1211" t="s">
        <v>1734</v>
      </c>
      <c r="B1211" s="2">
        <v>45986</v>
      </c>
      <c r="C1211" t="s">
        <v>67</v>
      </c>
      <c r="D1211" t="s">
        <v>241</v>
      </c>
      <c r="E1211" t="s">
        <v>136</v>
      </c>
      <c r="F1211">
        <v>11</v>
      </c>
      <c r="G1211" s="3">
        <v>0.05</v>
      </c>
      <c r="H1211" t="s">
        <v>14</v>
      </c>
      <c r="I1211" t="s">
        <v>54</v>
      </c>
      <c r="J1211" t="s">
        <v>59</v>
      </c>
    </row>
    <row r="1212" spans="1:10" x14ac:dyDescent="0.45">
      <c r="A1212" t="s">
        <v>1735</v>
      </c>
      <c r="B1212" s="2">
        <v>45848</v>
      </c>
      <c r="C1212" t="s">
        <v>1736</v>
      </c>
      <c r="D1212" t="s">
        <v>114</v>
      </c>
      <c r="E1212" t="s">
        <v>72</v>
      </c>
      <c r="F1212">
        <v>8</v>
      </c>
      <c r="G1212" s="3">
        <v>0.08</v>
      </c>
      <c r="H1212" t="s">
        <v>53</v>
      </c>
      <c r="I1212" t="s">
        <v>48</v>
      </c>
      <c r="J1212" t="s">
        <v>21</v>
      </c>
    </row>
    <row r="1213" spans="1:10" x14ac:dyDescent="0.45">
      <c r="A1213" t="s">
        <v>1737</v>
      </c>
      <c r="B1213" s="2">
        <v>45838</v>
      </c>
      <c r="C1213" t="s">
        <v>269</v>
      </c>
      <c r="D1213" t="s">
        <v>256</v>
      </c>
      <c r="E1213" t="s">
        <v>127</v>
      </c>
      <c r="F1213">
        <v>4</v>
      </c>
      <c r="G1213" s="3">
        <v>0.08</v>
      </c>
      <c r="H1213" t="s">
        <v>14</v>
      </c>
      <c r="I1213" t="s">
        <v>54</v>
      </c>
      <c r="J1213" t="s">
        <v>59</v>
      </c>
    </row>
    <row r="1214" spans="1:10" x14ac:dyDescent="0.45">
      <c r="A1214" t="s">
        <v>1738</v>
      </c>
      <c r="B1214" s="2">
        <v>45849</v>
      </c>
      <c r="C1214" t="s">
        <v>1193</v>
      </c>
      <c r="D1214" t="s">
        <v>39</v>
      </c>
      <c r="E1214" t="s">
        <v>115</v>
      </c>
      <c r="F1214">
        <v>6</v>
      </c>
      <c r="G1214" s="3">
        <v>0.05</v>
      </c>
      <c r="H1214" t="s">
        <v>14</v>
      </c>
      <c r="I1214" t="s">
        <v>27</v>
      </c>
      <c r="J1214" t="s">
        <v>21</v>
      </c>
    </row>
    <row r="1215" spans="1:10" x14ac:dyDescent="0.45">
      <c r="A1215" t="s">
        <v>1739</v>
      </c>
      <c r="B1215" s="2">
        <v>46094</v>
      </c>
      <c r="C1215" t="s">
        <v>269</v>
      </c>
      <c r="D1215" t="s">
        <v>106</v>
      </c>
      <c r="E1215" t="s">
        <v>115</v>
      </c>
      <c r="F1215">
        <v>5</v>
      </c>
      <c r="G1215" s="3">
        <v>0.1</v>
      </c>
      <c r="H1215" t="s">
        <v>53</v>
      </c>
      <c r="I1215" t="s">
        <v>48</v>
      </c>
      <c r="J1215" t="s">
        <v>21</v>
      </c>
    </row>
    <row r="1216" spans="1:10" x14ac:dyDescent="0.45">
      <c r="A1216" t="s">
        <v>1740</v>
      </c>
      <c r="B1216" s="2">
        <v>45823</v>
      </c>
      <c r="C1216" t="s">
        <v>134</v>
      </c>
      <c r="D1216" t="s">
        <v>121</v>
      </c>
      <c r="E1216" t="s">
        <v>101</v>
      </c>
      <c r="F1216">
        <v>2</v>
      </c>
      <c r="G1216" s="3">
        <v>0</v>
      </c>
      <c r="H1216" t="s">
        <v>14</v>
      </c>
      <c r="I1216" t="s">
        <v>27</v>
      </c>
      <c r="J1216" t="s">
        <v>36</v>
      </c>
    </row>
    <row r="1217" spans="1:10" x14ac:dyDescent="0.45">
      <c r="A1217" t="s">
        <v>1741</v>
      </c>
      <c r="B1217" s="2">
        <v>46098</v>
      </c>
      <c r="C1217" t="s">
        <v>936</v>
      </c>
      <c r="D1217" t="s">
        <v>30</v>
      </c>
      <c r="E1217" t="s">
        <v>40</v>
      </c>
      <c r="F1217">
        <v>2</v>
      </c>
      <c r="G1217" s="3">
        <v>0.2</v>
      </c>
      <c r="H1217" t="s">
        <v>14</v>
      </c>
      <c r="I1217" t="s">
        <v>48</v>
      </c>
      <c r="J1217" t="s">
        <v>21</v>
      </c>
    </row>
    <row r="1218" spans="1:10" x14ac:dyDescent="0.45">
      <c r="A1218" t="s">
        <v>1742</v>
      </c>
      <c r="B1218" s="2">
        <v>45725</v>
      </c>
      <c r="C1218" t="s">
        <v>817</v>
      </c>
      <c r="D1218" t="s">
        <v>202</v>
      </c>
      <c r="E1218" t="s">
        <v>72</v>
      </c>
      <c r="F1218">
        <v>10</v>
      </c>
      <c r="G1218" s="3">
        <v>0.08</v>
      </c>
      <c r="H1218" t="s">
        <v>53</v>
      </c>
      <c r="I1218" t="s">
        <v>27</v>
      </c>
      <c r="J1218" t="s">
        <v>21</v>
      </c>
    </row>
    <row r="1219" spans="1:10" x14ac:dyDescent="0.45">
      <c r="A1219" t="s">
        <v>1743</v>
      </c>
      <c r="B1219" s="2">
        <v>46169</v>
      </c>
      <c r="C1219" t="s">
        <v>315</v>
      </c>
      <c r="D1219" t="s">
        <v>238</v>
      </c>
      <c r="E1219" t="s">
        <v>58</v>
      </c>
      <c r="F1219">
        <v>5</v>
      </c>
      <c r="G1219" s="3">
        <v>0.2</v>
      </c>
      <c r="H1219" t="s">
        <v>14</v>
      </c>
      <c r="I1219" t="s">
        <v>54</v>
      </c>
      <c r="J1219" t="s">
        <v>21</v>
      </c>
    </row>
    <row r="1220" spans="1:10" x14ac:dyDescent="0.45">
      <c r="A1220" t="s">
        <v>1744</v>
      </c>
      <c r="B1220" s="2">
        <v>46019</v>
      </c>
      <c r="C1220" t="s">
        <v>322</v>
      </c>
      <c r="D1220" t="s">
        <v>348</v>
      </c>
      <c r="E1220" t="s">
        <v>72</v>
      </c>
      <c r="F1220">
        <v>7</v>
      </c>
      <c r="G1220" s="3">
        <v>0.2</v>
      </c>
      <c r="H1220" t="s">
        <v>53</v>
      </c>
      <c r="I1220" t="s">
        <v>27</v>
      </c>
      <c r="J1220" t="s">
        <v>36</v>
      </c>
    </row>
    <row r="1221" spans="1:10" x14ac:dyDescent="0.45">
      <c r="A1221" t="s">
        <v>1745</v>
      </c>
      <c r="B1221" s="2">
        <v>46121</v>
      </c>
      <c r="C1221" t="s">
        <v>1565</v>
      </c>
      <c r="D1221" t="s">
        <v>449</v>
      </c>
      <c r="E1221" t="s">
        <v>85</v>
      </c>
      <c r="F1221">
        <v>3</v>
      </c>
      <c r="G1221" s="3">
        <v>0.03</v>
      </c>
      <c r="H1221" t="s">
        <v>53</v>
      </c>
      <c r="I1221" t="s">
        <v>15</v>
      </c>
      <c r="J1221" t="s">
        <v>21</v>
      </c>
    </row>
    <row r="1222" spans="1:10" x14ac:dyDescent="0.45">
      <c r="A1222" t="s">
        <v>1746</v>
      </c>
      <c r="B1222" s="2">
        <v>46048</v>
      </c>
      <c r="C1222" t="s">
        <v>585</v>
      </c>
      <c r="D1222" t="s">
        <v>182</v>
      </c>
      <c r="E1222" t="s">
        <v>281</v>
      </c>
      <c r="F1222">
        <v>11</v>
      </c>
      <c r="G1222" s="3">
        <v>0.03</v>
      </c>
      <c r="H1222" t="s">
        <v>14</v>
      </c>
      <c r="I1222" t="s">
        <v>48</v>
      </c>
      <c r="J1222" t="s">
        <v>21</v>
      </c>
    </row>
    <row r="1223" spans="1:10" x14ac:dyDescent="0.45">
      <c r="A1223" t="s">
        <v>1747</v>
      </c>
      <c r="B1223" s="2">
        <v>45846</v>
      </c>
      <c r="C1223" t="s">
        <v>524</v>
      </c>
      <c r="D1223" t="s">
        <v>185</v>
      </c>
      <c r="E1223" t="s">
        <v>225</v>
      </c>
      <c r="F1223">
        <v>4</v>
      </c>
      <c r="G1223" s="3">
        <v>0</v>
      </c>
      <c r="H1223" t="s">
        <v>14</v>
      </c>
      <c r="I1223" t="s">
        <v>15</v>
      </c>
      <c r="J1223" t="s">
        <v>21</v>
      </c>
    </row>
    <row r="1224" spans="1:10" x14ac:dyDescent="0.45">
      <c r="A1224" t="s">
        <v>1748</v>
      </c>
      <c r="B1224" s="2">
        <v>46167</v>
      </c>
      <c r="C1224" t="s">
        <v>401</v>
      </c>
      <c r="D1224" t="s">
        <v>430</v>
      </c>
      <c r="E1224" t="s">
        <v>97</v>
      </c>
      <c r="F1224">
        <v>7</v>
      </c>
      <c r="G1224" s="3">
        <v>0.03</v>
      </c>
      <c r="H1224" t="s">
        <v>14</v>
      </c>
      <c r="I1224" t="s">
        <v>27</v>
      </c>
      <c r="J1224" t="s">
        <v>21</v>
      </c>
    </row>
    <row r="1225" spans="1:10" x14ac:dyDescent="0.45">
      <c r="A1225" t="s">
        <v>1749</v>
      </c>
      <c r="B1225" s="2">
        <v>46169</v>
      </c>
      <c r="C1225" t="s">
        <v>199</v>
      </c>
      <c r="D1225" t="s">
        <v>114</v>
      </c>
      <c r="E1225" t="s">
        <v>111</v>
      </c>
      <c r="F1225">
        <v>7</v>
      </c>
      <c r="G1225" s="3">
        <v>0.15</v>
      </c>
      <c r="H1225" t="s">
        <v>26</v>
      </c>
      <c r="I1225" t="s">
        <v>54</v>
      </c>
      <c r="J1225" t="s">
        <v>21</v>
      </c>
    </row>
    <row r="1226" spans="1:10" x14ac:dyDescent="0.45">
      <c r="A1226" t="s">
        <v>1750</v>
      </c>
      <c r="B1226" s="2">
        <v>45766</v>
      </c>
      <c r="C1226" t="s">
        <v>1019</v>
      </c>
      <c r="D1226" t="s">
        <v>221</v>
      </c>
      <c r="E1226" t="s">
        <v>58</v>
      </c>
      <c r="F1226">
        <v>2</v>
      </c>
      <c r="G1226" s="3">
        <v>0.1</v>
      </c>
      <c r="H1226" t="s">
        <v>53</v>
      </c>
      <c r="I1226" t="s">
        <v>27</v>
      </c>
      <c r="J1226" t="s">
        <v>21</v>
      </c>
    </row>
    <row r="1227" spans="1:10" x14ac:dyDescent="0.45">
      <c r="A1227" t="s">
        <v>1751</v>
      </c>
      <c r="B1227" s="2">
        <v>46084</v>
      </c>
      <c r="C1227" t="s">
        <v>1690</v>
      </c>
      <c r="D1227" t="s">
        <v>365</v>
      </c>
      <c r="E1227" t="s">
        <v>115</v>
      </c>
      <c r="F1227">
        <v>8</v>
      </c>
      <c r="G1227" s="3">
        <v>0</v>
      </c>
      <c r="H1227" t="s">
        <v>26</v>
      </c>
      <c r="I1227" t="s">
        <v>54</v>
      </c>
      <c r="J1227" t="s">
        <v>21</v>
      </c>
    </row>
    <row r="1228" spans="1:10" x14ac:dyDescent="0.45">
      <c r="A1228" t="s">
        <v>1752</v>
      </c>
      <c r="B1228" s="2">
        <v>45782</v>
      </c>
      <c r="C1228" t="s">
        <v>427</v>
      </c>
      <c r="D1228" t="s">
        <v>30</v>
      </c>
      <c r="E1228" t="s">
        <v>13</v>
      </c>
      <c r="F1228">
        <v>10</v>
      </c>
      <c r="G1228" s="3">
        <v>0.03</v>
      </c>
      <c r="H1228" t="s">
        <v>14</v>
      </c>
      <c r="I1228" t="s">
        <v>27</v>
      </c>
      <c r="J1228" t="s">
        <v>59</v>
      </c>
    </row>
    <row r="1229" spans="1:10" x14ac:dyDescent="0.45">
      <c r="A1229" t="s">
        <v>1753</v>
      </c>
      <c r="B1229" s="2">
        <v>46142</v>
      </c>
      <c r="C1229" t="s">
        <v>921</v>
      </c>
      <c r="D1229" t="s">
        <v>91</v>
      </c>
      <c r="E1229" t="s">
        <v>58</v>
      </c>
      <c r="F1229">
        <v>2</v>
      </c>
      <c r="G1229" s="3">
        <v>0</v>
      </c>
      <c r="H1229" t="s">
        <v>14</v>
      </c>
      <c r="I1229" t="s">
        <v>15</v>
      </c>
      <c r="J1229" t="s">
        <v>21</v>
      </c>
    </row>
    <row r="1230" spans="1:10" x14ac:dyDescent="0.45">
      <c r="A1230" t="s">
        <v>1754</v>
      </c>
      <c r="B1230" s="2">
        <v>46145</v>
      </c>
      <c r="C1230" t="s">
        <v>725</v>
      </c>
      <c r="D1230" t="s">
        <v>151</v>
      </c>
      <c r="E1230" t="s">
        <v>281</v>
      </c>
      <c r="F1230">
        <v>5</v>
      </c>
      <c r="G1230" s="3">
        <v>0.1</v>
      </c>
      <c r="H1230" t="s">
        <v>14</v>
      </c>
      <c r="I1230" t="s">
        <v>27</v>
      </c>
      <c r="J1230" t="s">
        <v>59</v>
      </c>
    </row>
    <row r="1231" spans="1:10" x14ac:dyDescent="0.45">
      <c r="A1231" t="s">
        <v>1755</v>
      </c>
      <c r="B1231" s="2">
        <v>45892</v>
      </c>
      <c r="C1231" t="s">
        <v>800</v>
      </c>
      <c r="D1231" t="s">
        <v>135</v>
      </c>
      <c r="E1231" t="s">
        <v>25</v>
      </c>
      <c r="F1231">
        <v>12</v>
      </c>
      <c r="G1231" s="3">
        <v>0.05</v>
      </c>
      <c r="H1231" t="s">
        <v>53</v>
      </c>
      <c r="I1231" t="s">
        <v>54</v>
      </c>
      <c r="J1231" t="s">
        <v>21</v>
      </c>
    </row>
    <row r="1232" spans="1:10" x14ac:dyDescent="0.45">
      <c r="A1232" t="s">
        <v>1756</v>
      </c>
      <c r="B1232" s="2">
        <v>46181</v>
      </c>
      <c r="C1232" t="s">
        <v>806</v>
      </c>
      <c r="D1232" t="s">
        <v>217</v>
      </c>
      <c r="E1232" t="s">
        <v>281</v>
      </c>
      <c r="F1232">
        <v>2</v>
      </c>
      <c r="G1232" s="3">
        <v>0.15</v>
      </c>
      <c r="H1232" t="s">
        <v>53</v>
      </c>
      <c r="I1232" t="s">
        <v>27</v>
      </c>
      <c r="J1232" t="s">
        <v>21</v>
      </c>
    </row>
    <row r="1233" spans="1:10" x14ac:dyDescent="0.45">
      <c r="A1233" t="s">
        <v>1757</v>
      </c>
      <c r="B1233" s="2">
        <v>45930</v>
      </c>
      <c r="C1233" t="s">
        <v>330</v>
      </c>
      <c r="D1233" t="s">
        <v>449</v>
      </c>
      <c r="E1233" t="s">
        <v>82</v>
      </c>
      <c r="F1233">
        <v>2</v>
      </c>
      <c r="G1233" s="3">
        <v>0.2</v>
      </c>
      <c r="H1233" t="s">
        <v>14</v>
      </c>
      <c r="I1233" t="s">
        <v>54</v>
      </c>
      <c r="J1233" t="s">
        <v>16</v>
      </c>
    </row>
    <row r="1234" spans="1:10" x14ac:dyDescent="0.45">
      <c r="A1234" t="s">
        <v>1758</v>
      </c>
      <c r="B1234" s="2">
        <v>45718</v>
      </c>
      <c r="C1234" t="s">
        <v>645</v>
      </c>
      <c r="D1234" t="s">
        <v>167</v>
      </c>
      <c r="E1234" t="s">
        <v>58</v>
      </c>
      <c r="F1234">
        <v>8</v>
      </c>
      <c r="G1234" s="3">
        <v>0.05</v>
      </c>
      <c r="H1234" t="s">
        <v>14</v>
      </c>
      <c r="I1234" t="s">
        <v>48</v>
      </c>
      <c r="J1234" t="s">
        <v>21</v>
      </c>
    </row>
    <row r="1235" spans="1:10" x14ac:dyDescent="0.45">
      <c r="A1235" t="s">
        <v>1759</v>
      </c>
      <c r="B1235" s="2">
        <v>45807</v>
      </c>
      <c r="C1235" t="s">
        <v>932</v>
      </c>
      <c r="D1235" t="s">
        <v>238</v>
      </c>
      <c r="E1235" t="s">
        <v>52</v>
      </c>
      <c r="F1235">
        <v>5</v>
      </c>
      <c r="G1235" s="3">
        <v>0.1</v>
      </c>
      <c r="H1235" t="s">
        <v>14</v>
      </c>
      <c r="I1235" t="s">
        <v>27</v>
      </c>
      <c r="J1235" t="s">
        <v>21</v>
      </c>
    </row>
    <row r="1236" spans="1:10" x14ac:dyDescent="0.45">
      <c r="A1236" t="s">
        <v>1760</v>
      </c>
      <c r="B1236" s="2">
        <v>45850</v>
      </c>
      <c r="C1236" t="s">
        <v>482</v>
      </c>
      <c r="D1236" t="s">
        <v>430</v>
      </c>
      <c r="E1236" t="s">
        <v>25</v>
      </c>
      <c r="F1236">
        <v>10</v>
      </c>
      <c r="G1236" s="3">
        <v>0</v>
      </c>
      <c r="H1236" t="s">
        <v>14</v>
      </c>
      <c r="I1236" t="s">
        <v>48</v>
      </c>
      <c r="J1236" t="s">
        <v>59</v>
      </c>
    </row>
    <row r="1237" spans="1:10" x14ac:dyDescent="0.45">
      <c r="A1237" t="s">
        <v>1761</v>
      </c>
      <c r="B1237" s="2">
        <v>45947</v>
      </c>
      <c r="C1237" t="s">
        <v>947</v>
      </c>
      <c r="D1237" t="s">
        <v>404</v>
      </c>
      <c r="E1237" t="s">
        <v>140</v>
      </c>
      <c r="F1237">
        <v>4</v>
      </c>
      <c r="G1237" s="3">
        <v>0.15</v>
      </c>
      <c r="H1237" t="s">
        <v>14</v>
      </c>
      <c r="I1237" t="s">
        <v>48</v>
      </c>
      <c r="J1237" t="s">
        <v>21</v>
      </c>
    </row>
    <row r="1238" spans="1:10" x14ac:dyDescent="0.45">
      <c r="A1238" t="s">
        <v>1762</v>
      </c>
      <c r="B1238" s="2">
        <v>45683</v>
      </c>
      <c r="C1238" t="s">
        <v>1354</v>
      </c>
      <c r="D1238" t="s">
        <v>167</v>
      </c>
      <c r="E1238" t="s">
        <v>101</v>
      </c>
      <c r="F1238">
        <v>1</v>
      </c>
      <c r="G1238" s="3">
        <v>0.15</v>
      </c>
      <c r="H1238" t="s">
        <v>14</v>
      </c>
      <c r="I1238" t="s">
        <v>15</v>
      </c>
      <c r="J1238" t="s">
        <v>16</v>
      </c>
    </row>
    <row r="1239" spans="1:10" x14ac:dyDescent="0.45">
      <c r="A1239" t="s">
        <v>1763</v>
      </c>
      <c r="B1239" s="2">
        <v>46049</v>
      </c>
      <c r="C1239" t="s">
        <v>220</v>
      </c>
      <c r="D1239" t="s">
        <v>62</v>
      </c>
      <c r="E1239" t="s">
        <v>25</v>
      </c>
      <c r="F1239">
        <v>9</v>
      </c>
      <c r="G1239" s="3">
        <v>0.03</v>
      </c>
      <c r="H1239" t="s">
        <v>14</v>
      </c>
      <c r="I1239" t="s">
        <v>27</v>
      </c>
      <c r="J1239" t="s">
        <v>21</v>
      </c>
    </row>
    <row r="1240" spans="1:10" x14ac:dyDescent="0.45">
      <c r="A1240" t="s">
        <v>1764</v>
      </c>
      <c r="B1240" s="2">
        <v>45860</v>
      </c>
      <c r="C1240" t="s">
        <v>469</v>
      </c>
      <c r="D1240" t="s">
        <v>75</v>
      </c>
      <c r="E1240" t="s">
        <v>152</v>
      </c>
      <c r="F1240">
        <v>12</v>
      </c>
      <c r="G1240" s="3">
        <v>0.2</v>
      </c>
      <c r="H1240" t="s">
        <v>14</v>
      </c>
      <c r="I1240" t="s">
        <v>54</v>
      </c>
      <c r="J1240" t="s">
        <v>21</v>
      </c>
    </row>
    <row r="1241" spans="1:10" x14ac:dyDescent="0.45">
      <c r="A1241" t="s">
        <v>1765</v>
      </c>
      <c r="B1241" s="2">
        <v>45992</v>
      </c>
      <c r="C1241" t="s">
        <v>1766</v>
      </c>
      <c r="D1241" t="s">
        <v>155</v>
      </c>
      <c r="E1241" t="s">
        <v>35</v>
      </c>
      <c r="F1241">
        <v>9</v>
      </c>
      <c r="G1241" s="3">
        <v>0.2</v>
      </c>
      <c r="H1241" t="s">
        <v>14</v>
      </c>
      <c r="I1241" t="s">
        <v>27</v>
      </c>
      <c r="J1241" t="s">
        <v>16</v>
      </c>
    </row>
    <row r="1242" spans="1:10" x14ac:dyDescent="0.45">
      <c r="A1242" t="s">
        <v>1767</v>
      </c>
      <c r="B1242" s="2">
        <v>46102</v>
      </c>
      <c r="C1242" t="s">
        <v>613</v>
      </c>
      <c r="D1242" t="s">
        <v>43</v>
      </c>
      <c r="E1242" t="s">
        <v>97</v>
      </c>
      <c r="F1242">
        <v>11</v>
      </c>
      <c r="G1242" s="3">
        <v>0.1</v>
      </c>
      <c r="H1242" t="s">
        <v>14</v>
      </c>
      <c r="I1242" t="s">
        <v>27</v>
      </c>
      <c r="J1242" t="s">
        <v>21</v>
      </c>
    </row>
    <row r="1243" spans="1:10" x14ac:dyDescent="0.45">
      <c r="A1243" t="s">
        <v>1768</v>
      </c>
      <c r="B1243" s="2">
        <v>45947</v>
      </c>
      <c r="C1243" t="s">
        <v>802</v>
      </c>
      <c r="D1243" t="s">
        <v>51</v>
      </c>
      <c r="E1243" t="s">
        <v>25</v>
      </c>
      <c r="F1243">
        <v>6</v>
      </c>
      <c r="G1243" s="3">
        <v>0</v>
      </c>
      <c r="H1243" t="s">
        <v>53</v>
      </c>
      <c r="I1243" t="s">
        <v>48</v>
      </c>
      <c r="J1243" t="s">
        <v>59</v>
      </c>
    </row>
    <row r="1244" spans="1:10" x14ac:dyDescent="0.45">
      <c r="A1244" t="s">
        <v>1769</v>
      </c>
      <c r="B1244" s="2">
        <v>45723</v>
      </c>
      <c r="C1244" t="s">
        <v>786</v>
      </c>
      <c r="D1244" t="s">
        <v>91</v>
      </c>
      <c r="E1244" t="s">
        <v>47</v>
      </c>
      <c r="F1244">
        <v>2</v>
      </c>
      <c r="G1244" s="3">
        <v>0.03</v>
      </c>
      <c r="H1244" t="s">
        <v>14</v>
      </c>
      <c r="I1244" t="s">
        <v>54</v>
      </c>
      <c r="J1244" t="s">
        <v>107</v>
      </c>
    </row>
    <row r="1245" spans="1:10" x14ac:dyDescent="0.45">
      <c r="A1245" t="s">
        <v>1770</v>
      </c>
      <c r="B1245" s="2">
        <v>46026</v>
      </c>
      <c r="C1245" t="s">
        <v>870</v>
      </c>
      <c r="D1245" t="s">
        <v>46</v>
      </c>
      <c r="E1245" t="s">
        <v>40</v>
      </c>
      <c r="F1245">
        <v>6</v>
      </c>
      <c r="G1245" s="3">
        <v>0.1</v>
      </c>
      <c r="H1245" t="s">
        <v>14</v>
      </c>
      <c r="I1245" t="s">
        <v>27</v>
      </c>
      <c r="J1245" t="s">
        <v>59</v>
      </c>
    </row>
    <row r="1246" spans="1:10" x14ac:dyDescent="0.45">
      <c r="A1246" t="s">
        <v>1771</v>
      </c>
      <c r="B1246" s="2">
        <v>45721</v>
      </c>
      <c r="C1246" t="s">
        <v>712</v>
      </c>
      <c r="D1246" t="s">
        <v>380</v>
      </c>
      <c r="E1246" t="s">
        <v>52</v>
      </c>
      <c r="F1246">
        <v>9</v>
      </c>
      <c r="G1246" s="3">
        <v>0.15</v>
      </c>
      <c r="H1246" t="s">
        <v>53</v>
      </c>
      <c r="I1246" t="s">
        <v>15</v>
      </c>
      <c r="J1246" t="s">
        <v>59</v>
      </c>
    </row>
    <row r="1247" spans="1:10" x14ac:dyDescent="0.45">
      <c r="A1247" t="s">
        <v>1772</v>
      </c>
      <c r="B1247" s="2">
        <v>46117</v>
      </c>
      <c r="C1247" t="s">
        <v>87</v>
      </c>
      <c r="D1247" t="s">
        <v>46</v>
      </c>
      <c r="E1247" t="s">
        <v>115</v>
      </c>
      <c r="F1247">
        <v>3</v>
      </c>
      <c r="G1247" s="3">
        <v>0</v>
      </c>
      <c r="H1247" t="s">
        <v>53</v>
      </c>
      <c r="I1247" t="s">
        <v>27</v>
      </c>
      <c r="J1247" t="s">
        <v>21</v>
      </c>
    </row>
    <row r="1248" spans="1:10" x14ac:dyDescent="0.45">
      <c r="A1248" t="s">
        <v>1773</v>
      </c>
      <c r="B1248" s="2">
        <v>45711</v>
      </c>
      <c r="C1248" t="s">
        <v>394</v>
      </c>
      <c r="D1248" t="s">
        <v>502</v>
      </c>
      <c r="E1248" t="s">
        <v>97</v>
      </c>
      <c r="F1248">
        <v>11</v>
      </c>
      <c r="G1248" s="3">
        <v>0.05</v>
      </c>
      <c r="H1248" t="s">
        <v>14</v>
      </c>
      <c r="I1248" t="s">
        <v>48</v>
      </c>
      <c r="J1248" t="s">
        <v>21</v>
      </c>
    </row>
    <row r="1249" spans="1:10" x14ac:dyDescent="0.45">
      <c r="A1249" t="s">
        <v>1774</v>
      </c>
      <c r="B1249" s="2">
        <v>46170</v>
      </c>
      <c r="C1249" t="s">
        <v>240</v>
      </c>
      <c r="D1249" t="s">
        <v>246</v>
      </c>
      <c r="E1249" t="s">
        <v>225</v>
      </c>
      <c r="F1249">
        <v>6</v>
      </c>
      <c r="G1249" s="3">
        <v>0.1</v>
      </c>
      <c r="H1249" t="s">
        <v>14</v>
      </c>
      <c r="I1249" t="s">
        <v>15</v>
      </c>
      <c r="J1249" t="s">
        <v>21</v>
      </c>
    </row>
    <row r="1250" spans="1:10" x14ac:dyDescent="0.45">
      <c r="A1250" t="s">
        <v>1775</v>
      </c>
      <c r="B1250" s="2">
        <v>45682</v>
      </c>
      <c r="C1250" t="s">
        <v>286</v>
      </c>
      <c r="D1250" t="s">
        <v>65</v>
      </c>
      <c r="E1250" t="s">
        <v>47</v>
      </c>
      <c r="F1250">
        <v>11</v>
      </c>
      <c r="G1250" s="3">
        <v>0.15</v>
      </c>
      <c r="H1250" t="s">
        <v>14</v>
      </c>
      <c r="I1250" t="s">
        <v>48</v>
      </c>
      <c r="J1250" t="s">
        <v>21</v>
      </c>
    </row>
    <row r="1251" spans="1:10" x14ac:dyDescent="0.45">
      <c r="A1251" t="s">
        <v>1776</v>
      </c>
      <c r="B1251" s="2">
        <v>46161</v>
      </c>
      <c r="C1251" t="s">
        <v>494</v>
      </c>
      <c r="D1251" t="s">
        <v>249</v>
      </c>
      <c r="E1251" t="s">
        <v>218</v>
      </c>
      <c r="F1251">
        <v>1</v>
      </c>
      <c r="G1251" s="3">
        <v>0.1</v>
      </c>
      <c r="H1251" t="s">
        <v>53</v>
      </c>
      <c r="I1251" t="s">
        <v>27</v>
      </c>
      <c r="J1251" t="s">
        <v>21</v>
      </c>
    </row>
    <row r="1252" spans="1:10" x14ac:dyDescent="0.45">
      <c r="A1252" t="s">
        <v>1777</v>
      </c>
      <c r="B1252" s="2">
        <v>45813</v>
      </c>
      <c r="C1252" t="s">
        <v>38</v>
      </c>
      <c r="D1252" t="s">
        <v>318</v>
      </c>
      <c r="E1252" t="s">
        <v>115</v>
      </c>
      <c r="F1252">
        <v>9</v>
      </c>
      <c r="G1252" s="3">
        <v>0</v>
      </c>
      <c r="H1252" t="s">
        <v>26</v>
      </c>
      <c r="I1252" t="s">
        <v>27</v>
      </c>
      <c r="J1252" t="s">
        <v>21</v>
      </c>
    </row>
    <row r="1253" spans="1:10" x14ac:dyDescent="0.45">
      <c r="A1253" t="s">
        <v>1778</v>
      </c>
      <c r="B1253" s="2">
        <v>45821</v>
      </c>
      <c r="C1253" t="s">
        <v>438</v>
      </c>
      <c r="D1253" t="s">
        <v>118</v>
      </c>
      <c r="E1253" t="s">
        <v>136</v>
      </c>
      <c r="F1253">
        <v>4</v>
      </c>
      <c r="G1253" s="3">
        <v>0.08</v>
      </c>
      <c r="H1253" t="s">
        <v>14</v>
      </c>
      <c r="I1253" t="s">
        <v>27</v>
      </c>
      <c r="J1253" t="s">
        <v>36</v>
      </c>
    </row>
    <row r="1254" spans="1:10" x14ac:dyDescent="0.45">
      <c r="A1254" t="s">
        <v>1779</v>
      </c>
      <c r="B1254" s="2">
        <v>45950</v>
      </c>
      <c r="C1254" t="s">
        <v>861</v>
      </c>
      <c r="D1254" t="s">
        <v>155</v>
      </c>
      <c r="E1254" t="s">
        <v>25</v>
      </c>
      <c r="F1254">
        <v>8</v>
      </c>
      <c r="G1254" s="3">
        <v>0</v>
      </c>
      <c r="H1254" t="s">
        <v>14</v>
      </c>
      <c r="I1254" t="s">
        <v>15</v>
      </c>
      <c r="J1254" t="s">
        <v>21</v>
      </c>
    </row>
    <row r="1255" spans="1:10" x14ac:dyDescent="0.45">
      <c r="A1255" t="s">
        <v>1780</v>
      </c>
      <c r="B1255" s="2">
        <v>45767</v>
      </c>
      <c r="C1255" t="s">
        <v>553</v>
      </c>
      <c r="D1255" t="s">
        <v>348</v>
      </c>
      <c r="E1255" t="s">
        <v>136</v>
      </c>
      <c r="F1255">
        <v>12</v>
      </c>
      <c r="G1255" s="3">
        <v>0.05</v>
      </c>
      <c r="H1255" t="s">
        <v>14</v>
      </c>
      <c r="I1255" t="s">
        <v>27</v>
      </c>
      <c r="J1255" t="s">
        <v>16</v>
      </c>
    </row>
    <row r="1256" spans="1:10" x14ac:dyDescent="0.45">
      <c r="A1256" t="s">
        <v>1781</v>
      </c>
      <c r="B1256" s="2">
        <v>45968</v>
      </c>
      <c r="C1256" t="s">
        <v>716</v>
      </c>
      <c r="D1256" t="s">
        <v>130</v>
      </c>
      <c r="E1256" t="s">
        <v>197</v>
      </c>
      <c r="F1256">
        <v>6</v>
      </c>
      <c r="G1256" s="3">
        <v>0.2</v>
      </c>
      <c r="H1256" t="s">
        <v>14</v>
      </c>
      <c r="I1256" t="s">
        <v>54</v>
      </c>
      <c r="J1256" t="s">
        <v>21</v>
      </c>
    </row>
    <row r="1257" spans="1:10" x14ac:dyDescent="0.45">
      <c r="A1257" t="s">
        <v>1782</v>
      </c>
      <c r="B1257" s="2">
        <v>45682</v>
      </c>
      <c r="C1257" t="s">
        <v>172</v>
      </c>
      <c r="D1257" t="s">
        <v>130</v>
      </c>
      <c r="E1257" t="s">
        <v>140</v>
      </c>
      <c r="F1257">
        <v>5</v>
      </c>
      <c r="G1257" s="3">
        <v>0</v>
      </c>
      <c r="H1257" t="s">
        <v>14</v>
      </c>
      <c r="I1257" t="s">
        <v>54</v>
      </c>
      <c r="J1257" t="s">
        <v>36</v>
      </c>
    </row>
    <row r="1258" spans="1:10" x14ac:dyDescent="0.45">
      <c r="A1258" t="s">
        <v>1783</v>
      </c>
      <c r="B1258" s="2">
        <v>46055</v>
      </c>
      <c r="C1258" t="s">
        <v>601</v>
      </c>
      <c r="D1258" t="s">
        <v>365</v>
      </c>
      <c r="E1258" t="s">
        <v>111</v>
      </c>
      <c r="F1258">
        <v>12</v>
      </c>
      <c r="G1258" s="3">
        <v>0.1</v>
      </c>
      <c r="H1258" t="s">
        <v>14</v>
      </c>
      <c r="I1258" t="s">
        <v>15</v>
      </c>
      <c r="J1258" t="s">
        <v>21</v>
      </c>
    </row>
    <row r="1259" spans="1:10" x14ac:dyDescent="0.45">
      <c r="A1259" t="s">
        <v>1784</v>
      </c>
      <c r="B1259" s="2">
        <v>45950</v>
      </c>
      <c r="C1259" t="s">
        <v>38</v>
      </c>
      <c r="D1259" t="s">
        <v>210</v>
      </c>
      <c r="E1259" t="s">
        <v>47</v>
      </c>
      <c r="F1259">
        <v>11</v>
      </c>
      <c r="G1259" s="3">
        <v>0.05</v>
      </c>
      <c r="H1259" t="s">
        <v>14</v>
      </c>
      <c r="I1259" t="s">
        <v>48</v>
      </c>
      <c r="J1259" t="s">
        <v>36</v>
      </c>
    </row>
    <row r="1260" spans="1:10" x14ac:dyDescent="0.45">
      <c r="A1260" t="s">
        <v>1785</v>
      </c>
      <c r="B1260" s="2">
        <v>45669</v>
      </c>
      <c r="C1260" t="s">
        <v>974</v>
      </c>
      <c r="D1260" t="s">
        <v>30</v>
      </c>
      <c r="E1260" t="s">
        <v>35</v>
      </c>
      <c r="F1260">
        <v>5</v>
      </c>
      <c r="G1260" s="3">
        <v>0</v>
      </c>
      <c r="H1260" t="s">
        <v>14</v>
      </c>
      <c r="I1260" t="s">
        <v>15</v>
      </c>
      <c r="J1260" t="s">
        <v>59</v>
      </c>
    </row>
    <row r="1261" spans="1:10" x14ac:dyDescent="0.45">
      <c r="A1261" t="s">
        <v>1786</v>
      </c>
      <c r="B1261" s="2">
        <v>46034</v>
      </c>
      <c r="C1261" t="s">
        <v>11</v>
      </c>
      <c r="D1261" t="s">
        <v>143</v>
      </c>
      <c r="E1261" t="s">
        <v>35</v>
      </c>
      <c r="F1261">
        <v>4</v>
      </c>
      <c r="G1261" s="3">
        <v>0.05</v>
      </c>
      <c r="H1261" t="s">
        <v>26</v>
      </c>
      <c r="I1261" t="s">
        <v>27</v>
      </c>
      <c r="J1261" t="s">
        <v>21</v>
      </c>
    </row>
    <row r="1262" spans="1:10" x14ac:dyDescent="0.45">
      <c r="A1262" t="s">
        <v>1787</v>
      </c>
      <c r="B1262" s="2">
        <v>45693</v>
      </c>
      <c r="C1262" t="s">
        <v>1788</v>
      </c>
      <c r="D1262" t="s">
        <v>217</v>
      </c>
      <c r="E1262" t="s">
        <v>101</v>
      </c>
      <c r="F1262">
        <v>2</v>
      </c>
      <c r="G1262" s="3">
        <v>0.08</v>
      </c>
      <c r="H1262" t="s">
        <v>14</v>
      </c>
      <c r="I1262" t="s">
        <v>15</v>
      </c>
      <c r="J1262" t="s">
        <v>36</v>
      </c>
    </row>
    <row r="1263" spans="1:10" x14ac:dyDescent="0.45">
      <c r="A1263" t="s">
        <v>1789</v>
      </c>
      <c r="B1263" s="2">
        <v>45689</v>
      </c>
      <c r="C1263" t="s">
        <v>64</v>
      </c>
      <c r="D1263" t="s">
        <v>249</v>
      </c>
      <c r="E1263" t="s">
        <v>31</v>
      </c>
      <c r="F1263">
        <v>8</v>
      </c>
      <c r="G1263" s="3">
        <v>0.03</v>
      </c>
      <c r="H1263" t="s">
        <v>14</v>
      </c>
      <c r="I1263" t="s">
        <v>48</v>
      </c>
      <c r="J1263" t="s">
        <v>59</v>
      </c>
    </row>
    <row r="1264" spans="1:10" x14ac:dyDescent="0.45">
      <c r="A1264" t="s">
        <v>1790</v>
      </c>
      <c r="B1264" s="2">
        <v>45937</v>
      </c>
      <c r="C1264" t="s">
        <v>56</v>
      </c>
      <c r="D1264" t="s">
        <v>78</v>
      </c>
      <c r="E1264" t="s">
        <v>72</v>
      </c>
      <c r="F1264">
        <v>5</v>
      </c>
      <c r="G1264" s="3">
        <v>0</v>
      </c>
      <c r="H1264" t="s">
        <v>53</v>
      </c>
      <c r="I1264" t="s">
        <v>15</v>
      </c>
      <c r="J1264" t="s">
        <v>21</v>
      </c>
    </row>
    <row r="1265" spans="1:10" x14ac:dyDescent="0.45">
      <c r="A1265" t="s">
        <v>1791</v>
      </c>
      <c r="B1265" s="2">
        <v>45724</v>
      </c>
      <c r="C1265" t="s">
        <v>453</v>
      </c>
      <c r="D1265" t="s">
        <v>246</v>
      </c>
      <c r="E1265" t="s">
        <v>115</v>
      </c>
      <c r="F1265">
        <v>7</v>
      </c>
      <c r="G1265" s="3">
        <v>0.15</v>
      </c>
      <c r="H1265" t="s">
        <v>14</v>
      </c>
      <c r="I1265" t="s">
        <v>15</v>
      </c>
      <c r="J1265" t="s">
        <v>21</v>
      </c>
    </row>
    <row r="1266" spans="1:10" x14ac:dyDescent="0.45">
      <c r="A1266" t="s">
        <v>1792</v>
      </c>
      <c r="B1266" s="2">
        <v>45671</v>
      </c>
      <c r="C1266" t="s">
        <v>962</v>
      </c>
      <c r="D1266" t="s">
        <v>68</v>
      </c>
      <c r="E1266" t="s">
        <v>144</v>
      </c>
      <c r="F1266">
        <v>10</v>
      </c>
      <c r="G1266" s="3">
        <v>0</v>
      </c>
      <c r="H1266" t="s">
        <v>53</v>
      </c>
      <c r="I1266" t="s">
        <v>27</v>
      </c>
      <c r="J1266" t="s">
        <v>59</v>
      </c>
    </row>
    <row r="1267" spans="1:10" x14ac:dyDescent="0.45">
      <c r="A1267" t="s">
        <v>1793</v>
      </c>
      <c r="B1267" s="2">
        <v>45931</v>
      </c>
      <c r="C1267" t="s">
        <v>1794</v>
      </c>
      <c r="D1267" t="s">
        <v>238</v>
      </c>
      <c r="E1267" t="s">
        <v>115</v>
      </c>
      <c r="F1267">
        <v>1</v>
      </c>
      <c r="G1267" s="3">
        <v>0.08</v>
      </c>
      <c r="H1267" t="s">
        <v>26</v>
      </c>
      <c r="I1267" t="s">
        <v>54</v>
      </c>
      <c r="J1267" t="s">
        <v>21</v>
      </c>
    </row>
    <row r="1268" spans="1:10" x14ac:dyDescent="0.45">
      <c r="A1268" t="s">
        <v>1795</v>
      </c>
      <c r="B1268" s="2">
        <v>45703</v>
      </c>
      <c r="C1268" t="s">
        <v>45</v>
      </c>
      <c r="D1268" t="s">
        <v>256</v>
      </c>
      <c r="E1268" t="s">
        <v>25</v>
      </c>
      <c r="F1268">
        <v>10</v>
      </c>
      <c r="G1268" s="3">
        <v>0.15</v>
      </c>
      <c r="H1268" t="s">
        <v>14</v>
      </c>
      <c r="I1268" t="s">
        <v>15</v>
      </c>
      <c r="J1268" t="s">
        <v>16</v>
      </c>
    </row>
    <row r="1269" spans="1:10" x14ac:dyDescent="0.45">
      <c r="A1269" t="s">
        <v>1796</v>
      </c>
      <c r="B1269" s="2">
        <v>46030</v>
      </c>
      <c r="C1269" t="s">
        <v>706</v>
      </c>
      <c r="D1269" t="s">
        <v>529</v>
      </c>
      <c r="E1269" t="s">
        <v>101</v>
      </c>
      <c r="F1269">
        <v>2</v>
      </c>
      <c r="G1269" s="3">
        <v>0.1</v>
      </c>
      <c r="H1269" t="s">
        <v>14</v>
      </c>
      <c r="I1269" t="s">
        <v>15</v>
      </c>
      <c r="J1269" t="s">
        <v>21</v>
      </c>
    </row>
    <row r="1270" spans="1:10" x14ac:dyDescent="0.45">
      <c r="A1270" t="s">
        <v>1797</v>
      </c>
      <c r="B1270" s="2">
        <v>45807</v>
      </c>
      <c r="C1270" t="s">
        <v>438</v>
      </c>
      <c r="D1270" t="s">
        <v>139</v>
      </c>
      <c r="E1270" t="s">
        <v>111</v>
      </c>
      <c r="F1270">
        <v>6</v>
      </c>
      <c r="G1270" s="3">
        <v>0.1</v>
      </c>
      <c r="H1270" t="s">
        <v>14</v>
      </c>
      <c r="I1270" t="s">
        <v>15</v>
      </c>
      <c r="J1270" t="s">
        <v>21</v>
      </c>
    </row>
    <row r="1271" spans="1:10" x14ac:dyDescent="0.45">
      <c r="A1271" t="s">
        <v>1798</v>
      </c>
      <c r="B1271" s="2">
        <v>46164</v>
      </c>
      <c r="C1271" t="s">
        <v>970</v>
      </c>
      <c r="D1271" t="s">
        <v>65</v>
      </c>
      <c r="E1271" t="s">
        <v>225</v>
      </c>
      <c r="F1271">
        <v>11</v>
      </c>
      <c r="G1271" s="3">
        <v>0.15</v>
      </c>
      <c r="H1271" t="s">
        <v>14</v>
      </c>
      <c r="I1271" t="s">
        <v>15</v>
      </c>
      <c r="J1271" t="s">
        <v>21</v>
      </c>
    </row>
    <row r="1272" spans="1:10" x14ac:dyDescent="0.45">
      <c r="A1272" t="s">
        <v>1799</v>
      </c>
      <c r="B1272" s="2">
        <v>46025</v>
      </c>
      <c r="C1272" t="s">
        <v>172</v>
      </c>
      <c r="D1272" t="s">
        <v>182</v>
      </c>
      <c r="E1272" t="s">
        <v>281</v>
      </c>
      <c r="F1272">
        <v>11</v>
      </c>
      <c r="G1272" s="3">
        <v>0.2</v>
      </c>
      <c r="H1272" t="s">
        <v>14</v>
      </c>
      <c r="I1272" t="s">
        <v>54</v>
      </c>
      <c r="J1272" t="s">
        <v>36</v>
      </c>
    </row>
    <row r="1273" spans="1:10" x14ac:dyDescent="0.45">
      <c r="A1273" t="s">
        <v>1800</v>
      </c>
      <c r="B1273" s="2">
        <v>45806</v>
      </c>
      <c r="C1273" t="s">
        <v>84</v>
      </c>
      <c r="D1273" t="s">
        <v>233</v>
      </c>
      <c r="E1273" t="s">
        <v>25</v>
      </c>
      <c r="F1273">
        <v>10</v>
      </c>
      <c r="G1273" s="3">
        <v>0.1</v>
      </c>
      <c r="H1273" t="s">
        <v>14</v>
      </c>
      <c r="I1273" t="s">
        <v>54</v>
      </c>
      <c r="J1273" t="s">
        <v>36</v>
      </c>
    </row>
    <row r="1274" spans="1:10" x14ac:dyDescent="0.45">
      <c r="A1274" t="s">
        <v>1801</v>
      </c>
      <c r="B1274" s="2">
        <v>46063</v>
      </c>
      <c r="C1274" t="s">
        <v>549</v>
      </c>
      <c r="D1274" t="s">
        <v>182</v>
      </c>
      <c r="E1274" t="s">
        <v>115</v>
      </c>
      <c r="F1274">
        <v>2</v>
      </c>
      <c r="G1274" s="3">
        <v>0.15</v>
      </c>
      <c r="H1274" t="s">
        <v>53</v>
      </c>
      <c r="I1274" t="s">
        <v>48</v>
      </c>
      <c r="J1274" t="s">
        <v>21</v>
      </c>
    </row>
    <row r="1275" spans="1:10" x14ac:dyDescent="0.45">
      <c r="A1275" t="s">
        <v>1802</v>
      </c>
      <c r="B1275" s="2">
        <v>45826</v>
      </c>
      <c r="C1275" t="s">
        <v>150</v>
      </c>
      <c r="D1275" t="s">
        <v>256</v>
      </c>
      <c r="E1275" t="s">
        <v>152</v>
      </c>
      <c r="F1275">
        <v>12</v>
      </c>
      <c r="G1275" s="3">
        <v>0.05</v>
      </c>
      <c r="H1275" t="s">
        <v>53</v>
      </c>
      <c r="I1275" t="s">
        <v>27</v>
      </c>
      <c r="J1275" t="s">
        <v>21</v>
      </c>
    </row>
    <row r="1276" spans="1:10" x14ac:dyDescent="0.45">
      <c r="A1276" t="s">
        <v>1803</v>
      </c>
      <c r="B1276" s="2">
        <v>46062</v>
      </c>
      <c r="C1276" t="s">
        <v>1568</v>
      </c>
      <c r="D1276" t="s">
        <v>139</v>
      </c>
      <c r="E1276" t="s">
        <v>52</v>
      </c>
      <c r="F1276">
        <v>9</v>
      </c>
      <c r="G1276" s="3">
        <v>0.15</v>
      </c>
      <c r="H1276" t="s">
        <v>14</v>
      </c>
      <c r="I1276" t="s">
        <v>27</v>
      </c>
      <c r="J1276" t="s">
        <v>59</v>
      </c>
    </row>
    <row r="1277" spans="1:10" x14ac:dyDescent="0.45">
      <c r="A1277" t="s">
        <v>1804</v>
      </c>
      <c r="B1277" s="2">
        <v>46122</v>
      </c>
      <c r="C1277" t="s">
        <v>29</v>
      </c>
      <c r="D1277" t="s">
        <v>12</v>
      </c>
      <c r="E1277" t="s">
        <v>218</v>
      </c>
      <c r="F1277">
        <v>3</v>
      </c>
      <c r="G1277" s="3">
        <v>0.05</v>
      </c>
      <c r="H1277" t="s">
        <v>53</v>
      </c>
      <c r="I1277" t="s">
        <v>48</v>
      </c>
      <c r="J1277" t="s">
        <v>21</v>
      </c>
    </row>
    <row r="1278" spans="1:10" x14ac:dyDescent="0.45">
      <c r="A1278" t="s">
        <v>1805</v>
      </c>
      <c r="B1278" s="2">
        <v>46073</v>
      </c>
      <c r="C1278" t="s">
        <v>967</v>
      </c>
      <c r="D1278" t="s">
        <v>320</v>
      </c>
      <c r="E1278" t="s">
        <v>218</v>
      </c>
      <c r="F1278">
        <v>5</v>
      </c>
      <c r="G1278" s="3">
        <v>0.05</v>
      </c>
      <c r="H1278" t="s">
        <v>14</v>
      </c>
      <c r="I1278" t="s">
        <v>48</v>
      </c>
      <c r="J1278" t="s">
        <v>107</v>
      </c>
    </row>
    <row r="1279" spans="1:10" x14ac:dyDescent="0.45">
      <c r="A1279" t="s">
        <v>1806</v>
      </c>
      <c r="B1279" s="2">
        <v>45689</v>
      </c>
      <c r="C1279" t="s">
        <v>375</v>
      </c>
      <c r="D1279" t="s">
        <v>19</v>
      </c>
      <c r="E1279" t="s">
        <v>97</v>
      </c>
      <c r="F1279">
        <v>5</v>
      </c>
      <c r="G1279" s="3">
        <v>0</v>
      </c>
      <c r="H1279" t="s">
        <v>14</v>
      </c>
      <c r="I1279" t="s">
        <v>48</v>
      </c>
      <c r="J1279" t="s">
        <v>21</v>
      </c>
    </row>
    <row r="1280" spans="1:10" x14ac:dyDescent="0.45">
      <c r="A1280" t="s">
        <v>1807</v>
      </c>
      <c r="B1280" s="2">
        <v>46024</v>
      </c>
      <c r="C1280" t="s">
        <v>1808</v>
      </c>
      <c r="D1280" t="s">
        <v>155</v>
      </c>
      <c r="E1280" t="s">
        <v>13</v>
      </c>
      <c r="F1280">
        <v>11</v>
      </c>
      <c r="G1280" s="3">
        <v>0.15</v>
      </c>
      <c r="H1280" t="s">
        <v>14</v>
      </c>
      <c r="I1280" t="s">
        <v>27</v>
      </c>
      <c r="J1280" t="s">
        <v>21</v>
      </c>
    </row>
    <row r="1281" spans="1:10" x14ac:dyDescent="0.45">
      <c r="A1281" t="s">
        <v>1809</v>
      </c>
      <c r="B1281" s="2">
        <v>46096</v>
      </c>
      <c r="C1281" t="s">
        <v>438</v>
      </c>
      <c r="D1281" t="s">
        <v>249</v>
      </c>
      <c r="E1281" t="s">
        <v>101</v>
      </c>
      <c r="F1281">
        <v>10</v>
      </c>
      <c r="G1281" s="3">
        <v>0.2</v>
      </c>
      <c r="H1281" t="s">
        <v>53</v>
      </c>
      <c r="I1281" t="s">
        <v>48</v>
      </c>
      <c r="J1281" t="s">
        <v>59</v>
      </c>
    </row>
    <row r="1282" spans="1:10" x14ac:dyDescent="0.45">
      <c r="A1282" t="s">
        <v>1810</v>
      </c>
      <c r="B1282" s="2">
        <v>46017</v>
      </c>
      <c r="C1282" t="s">
        <v>368</v>
      </c>
      <c r="D1282" t="s">
        <v>365</v>
      </c>
      <c r="E1282" t="s">
        <v>281</v>
      </c>
      <c r="F1282">
        <v>1</v>
      </c>
      <c r="G1282" s="3">
        <v>0.08</v>
      </c>
      <c r="H1282" t="s">
        <v>53</v>
      </c>
      <c r="I1282" t="s">
        <v>15</v>
      </c>
      <c r="J1282" t="s">
        <v>59</v>
      </c>
    </row>
    <row r="1283" spans="1:10" x14ac:dyDescent="0.45">
      <c r="A1283" t="s">
        <v>1811</v>
      </c>
      <c r="B1283" s="2">
        <v>46017</v>
      </c>
      <c r="C1283" t="s">
        <v>817</v>
      </c>
      <c r="D1283" t="s">
        <v>143</v>
      </c>
      <c r="E1283" t="s">
        <v>13</v>
      </c>
      <c r="F1283">
        <v>11</v>
      </c>
      <c r="G1283" s="3">
        <v>0.2</v>
      </c>
      <c r="H1283" t="s">
        <v>26</v>
      </c>
      <c r="I1283" t="s">
        <v>15</v>
      </c>
      <c r="J1283" t="s">
        <v>21</v>
      </c>
    </row>
    <row r="1284" spans="1:10" x14ac:dyDescent="0.45">
      <c r="A1284" t="s">
        <v>1812</v>
      </c>
      <c r="B1284" s="2">
        <v>45916</v>
      </c>
      <c r="C1284" t="s">
        <v>199</v>
      </c>
      <c r="D1284" t="s">
        <v>46</v>
      </c>
      <c r="E1284" t="s">
        <v>47</v>
      </c>
      <c r="F1284">
        <v>9</v>
      </c>
      <c r="G1284" s="3">
        <v>0</v>
      </c>
      <c r="H1284" t="s">
        <v>14</v>
      </c>
      <c r="I1284" t="s">
        <v>48</v>
      </c>
      <c r="J1284" t="s">
        <v>21</v>
      </c>
    </row>
    <row r="1285" spans="1:10" x14ac:dyDescent="0.45">
      <c r="A1285" t="s">
        <v>1813</v>
      </c>
      <c r="B1285" s="2">
        <v>46138</v>
      </c>
      <c r="C1285" t="s">
        <v>169</v>
      </c>
      <c r="D1285" t="s">
        <v>57</v>
      </c>
      <c r="E1285" t="s">
        <v>218</v>
      </c>
      <c r="F1285">
        <v>1</v>
      </c>
      <c r="G1285" s="3">
        <v>0.1</v>
      </c>
      <c r="H1285" t="s">
        <v>14</v>
      </c>
      <c r="I1285" t="s">
        <v>15</v>
      </c>
      <c r="J1285" t="s">
        <v>21</v>
      </c>
    </row>
    <row r="1286" spans="1:10" x14ac:dyDescent="0.45">
      <c r="A1286" t="s">
        <v>1814</v>
      </c>
      <c r="B1286" s="2">
        <v>45789</v>
      </c>
      <c r="C1286" t="s">
        <v>216</v>
      </c>
      <c r="D1286" t="s">
        <v>143</v>
      </c>
      <c r="E1286" t="s">
        <v>97</v>
      </c>
      <c r="F1286">
        <v>10</v>
      </c>
      <c r="G1286" s="3">
        <v>0</v>
      </c>
      <c r="H1286" t="s">
        <v>26</v>
      </c>
      <c r="I1286" t="s">
        <v>15</v>
      </c>
      <c r="J1286" t="s">
        <v>21</v>
      </c>
    </row>
    <row r="1287" spans="1:10" x14ac:dyDescent="0.45">
      <c r="A1287" t="s">
        <v>1815</v>
      </c>
      <c r="B1287" s="2">
        <v>46055</v>
      </c>
      <c r="C1287" t="s">
        <v>297</v>
      </c>
      <c r="D1287" t="s">
        <v>449</v>
      </c>
      <c r="E1287" t="s">
        <v>152</v>
      </c>
      <c r="F1287">
        <v>9</v>
      </c>
      <c r="G1287" s="3">
        <v>0</v>
      </c>
      <c r="H1287" t="s">
        <v>14</v>
      </c>
      <c r="I1287" t="s">
        <v>48</v>
      </c>
      <c r="J1287" t="s">
        <v>59</v>
      </c>
    </row>
    <row r="1288" spans="1:10" x14ac:dyDescent="0.45">
      <c r="A1288" t="s">
        <v>1816</v>
      </c>
      <c r="B1288" s="2">
        <v>45958</v>
      </c>
      <c r="C1288" t="s">
        <v>330</v>
      </c>
      <c r="D1288" t="s">
        <v>185</v>
      </c>
      <c r="E1288" t="s">
        <v>85</v>
      </c>
      <c r="F1288">
        <v>3</v>
      </c>
      <c r="G1288" s="3">
        <v>0</v>
      </c>
      <c r="H1288" t="s">
        <v>14</v>
      </c>
      <c r="I1288" t="s">
        <v>27</v>
      </c>
      <c r="J1288" t="s">
        <v>21</v>
      </c>
    </row>
    <row r="1289" spans="1:10" x14ac:dyDescent="0.45">
      <c r="A1289" t="s">
        <v>1817</v>
      </c>
      <c r="B1289" s="2">
        <v>45861</v>
      </c>
      <c r="C1289" t="s">
        <v>777</v>
      </c>
      <c r="D1289" t="s">
        <v>246</v>
      </c>
      <c r="E1289" t="s">
        <v>127</v>
      </c>
      <c r="F1289">
        <v>8</v>
      </c>
      <c r="G1289" s="3">
        <v>0.2</v>
      </c>
      <c r="H1289" t="s">
        <v>14</v>
      </c>
      <c r="I1289" t="s">
        <v>15</v>
      </c>
      <c r="J1289" t="s">
        <v>16</v>
      </c>
    </row>
    <row r="1290" spans="1:10" x14ac:dyDescent="0.45">
      <c r="A1290" t="s">
        <v>1818</v>
      </c>
      <c r="B1290" s="2">
        <v>46043</v>
      </c>
      <c r="C1290" t="s">
        <v>921</v>
      </c>
      <c r="D1290" t="s">
        <v>185</v>
      </c>
      <c r="E1290" t="s">
        <v>40</v>
      </c>
      <c r="F1290">
        <v>1</v>
      </c>
      <c r="G1290" s="3">
        <v>0.08</v>
      </c>
      <c r="H1290" t="s">
        <v>14</v>
      </c>
      <c r="I1290" t="s">
        <v>27</v>
      </c>
      <c r="J1290" t="s">
        <v>36</v>
      </c>
    </row>
    <row r="1291" spans="1:10" x14ac:dyDescent="0.45">
      <c r="A1291" t="s">
        <v>1819</v>
      </c>
      <c r="B1291" s="2">
        <v>46113</v>
      </c>
      <c r="C1291" t="s">
        <v>93</v>
      </c>
      <c r="D1291" t="s">
        <v>365</v>
      </c>
      <c r="E1291" t="s">
        <v>218</v>
      </c>
      <c r="F1291">
        <v>12</v>
      </c>
      <c r="G1291" s="3">
        <v>0</v>
      </c>
      <c r="H1291" t="s">
        <v>14</v>
      </c>
      <c r="I1291" t="s">
        <v>54</v>
      </c>
      <c r="J1291" t="s">
        <v>21</v>
      </c>
    </row>
    <row r="1292" spans="1:10" x14ac:dyDescent="0.45">
      <c r="A1292" t="s">
        <v>1820</v>
      </c>
      <c r="B1292" s="2">
        <v>46106</v>
      </c>
      <c r="C1292" t="s">
        <v>1095</v>
      </c>
      <c r="D1292" t="s">
        <v>196</v>
      </c>
      <c r="E1292" t="s">
        <v>97</v>
      </c>
      <c r="F1292">
        <v>8</v>
      </c>
      <c r="G1292" s="3">
        <v>0.1</v>
      </c>
      <c r="H1292" t="s">
        <v>53</v>
      </c>
      <c r="I1292" t="s">
        <v>15</v>
      </c>
      <c r="J1292" t="s">
        <v>21</v>
      </c>
    </row>
    <row r="1293" spans="1:10" x14ac:dyDescent="0.45">
      <c r="A1293" t="s">
        <v>1821</v>
      </c>
      <c r="B1293" s="2">
        <v>45766</v>
      </c>
      <c r="C1293" t="s">
        <v>1128</v>
      </c>
      <c r="D1293" t="s">
        <v>139</v>
      </c>
      <c r="E1293" t="s">
        <v>25</v>
      </c>
      <c r="F1293">
        <v>7</v>
      </c>
      <c r="G1293" s="3">
        <v>0.2</v>
      </c>
      <c r="H1293" t="s">
        <v>14</v>
      </c>
      <c r="I1293" t="s">
        <v>15</v>
      </c>
      <c r="J1293" t="s">
        <v>21</v>
      </c>
    </row>
    <row r="1294" spans="1:10" x14ac:dyDescent="0.45">
      <c r="A1294" t="s">
        <v>1822</v>
      </c>
      <c r="B1294" s="2">
        <v>45747</v>
      </c>
      <c r="C1294" t="s">
        <v>641</v>
      </c>
      <c r="D1294" t="s">
        <v>277</v>
      </c>
      <c r="E1294" t="s">
        <v>127</v>
      </c>
      <c r="F1294">
        <v>5</v>
      </c>
      <c r="G1294" s="3">
        <v>0.1</v>
      </c>
      <c r="H1294" t="s">
        <v>14</v>
      </c>
      <c r="I1294" t="s">
        <v>54</v>
      </c>
      <c r="J1294" t="s">
        <v>36</v>
      </c>
    </row>
    <row r="1295" spans="1:10" x14ac:dyDescent="0.45">
      <c r="A1295" t="s">
        <v>1823</v>
      </c>
      <c r="B1295" s="2">
        <v>45823</v>
      </c>
      <c r="C1295" t="s">
        <v>1525</v>
      </c>
      <c r="D1295" t="s">
        <v>155</v>
      </c>
      <c r="E1295" t="s">
        <v>97</v>
      </c>
      <c r="F1295">
        <v>2</v>
      </c>
      <c r="G1295" s="3">
        <v>0.03</v>
      </c>
      <c r="H1295" t="s">
        <v>53</v>
      </c>
      <c r="I1295" t="s">
        <v>15</v>
      </c>
      <c r="J1295" t="s">
        <v>21</v>
      </c>
    </row>
    <row r="1296" spans="1:10" x14ac:dyDescent="0.45">
      <c r="A1296" t="s">
        <v>1824</v>
      </c>
      <c r="B1296" s="2">
        <v>45927</v>
      </c>
      <c r="C1296" t="s">
        <v>113</v>
      </c>
      <c r="D1296" t="s">
        <v>139</v>
      </c>
      <c r="E1296" t="s">
        <v>52</v>
      </c>
      <c r="F1296">
        <v>8</v>
      </c>
      <c r="G1296" s="3">
        <v>0</v>
      </c>
      <c r="H1296" t="s">
        <v>26</v>
      </c>
      <c r="I1296" t="s">
        <v>54</v>
      </c>
      <c r="J1296" t="s">
        <v>21</v>
      </c>
    </row>
    <row r="1297" spans="1:10" x14ac:dyDescent="0.45">
      <c r="A1297" t="s">
        <v>1825</v>
      </c>
      <c r="B1297" s="2">
        <v>45895</v>
      </c>
      <c r="C1297" t="s">
        <v>486</v>
      </c>
      <c r="D1297" t="s">
        <v>502</v>
      </c>
      <c r="E1297" t="s">
        <v>35</v>
      </c>
      <c r="F1297">
        <v>4</v>
      </c>
      <c r="G1297" s="3">
        <v>0.03</v>
      </c>
      <c r="H1297" t="s">
        <v>14</v>
      </c>
      <c r="I1297" t="s">
        <v>15</v>
      </c>
      <c r="J1297" t="s">
        <v>21</v>
      </c>
    </row>
    <row r="1298" spans="1:10" x14ac:dyDescent="0.45">
      <c r="A1298" t="s">
        <v>1826</v>
      </c>
      <c r="B1298" s="2">
        <v>45773</v>
      </c>
      <c r="C1298" t="s">
        <v>936</v>
      </c>
      <c r="D1298" t="s">
        <v>118</v>
      </c>
      <c r="E1298" t="s">
        <v>97</v>
      </c>
      <c r="F1298">
        <v>9</v>
      </c>
      <c r="G1298" s="3">
        <v>0.08</v>
      </c>
      <c r="H1298" t="s">
        <v>14</v>
      </c>
      <c r="I1298" t="s">
        <v>48</v>
      </c>
      <c r="J1298" t="s">
        <v>21</v>
      </c>
    </row>
    <row r="1299" spans="1:10" x14ac:dyDescent="0.45">
      <c r="A1299" t="s">
        <v>1827</v>
      </c>
      <c r="B1299" s="2">
        <v>45907</v>
      </c>
      <c r="C1299" t="s">
        <v>390</v>
      </c>
      <c r="D1299" t="s">
        <v>182</v>
      </c>
      <c r="E1299" t="s">
        <v>281</v>
      </c>
      <c r="F1299">
        <v>8</v>
      </c>
      <c r="G1299" s="3">
        <v>0.05</v>
      </c>
      <c r="H1299" t="s">
        <v>14</v>
      </c>
      <c r="I1299" t="s">
        <v>15</v>
      </c>
      <c r="J1299" t="s">
        <v>21</v>
      </c>
    </row>
    <row r="1300" spans="1:10" x14ac:dyDescent="0.45">
      <c r="A1300" t="s">
        <v>1828</v>
      </c>
      <c r="B1300" s="2">
        <v>46055</v>
      </c>
      <c r="C1300" t="s">
        <v>1112</v>
      </c>
      <c r="D1300" t="s">
        <v>143</v>
      </c>
      <c r="E1300" t="s">
        <v>144</v>
      </c>
      <c r="F1300">
        <v>9</v>
      </c>
      <c r="G1300" s="3">
        <v>0</v>
      </c>
      <c r="H1300" t="s">
        <v>14</v>
      </c>
      <c r="I1300" t="s">
        <v>54</v>
      </c>
      <c r="J1300" t="s">
        <v>36</v>
      </c>
    </row>
    <row r="1301" spans="1:10" x14ac:dyDescent="0.45">
      <c r="A1301" t="s">
        <v>1829</v>
      </c>
      <c r="B1301" s="2">
        <v>46183</v>
      </c>
      <c r="C1301" t="s">
        <v>684</v>
      </c>
      <c r="D1301" t="s">
        <v>277</v>
      </c>
      <c r="E1301" t="s">
        <v>47</v>
      </c>
      <c r="F1301">
        <v>2</v>
      </c>
      <c r="G1301" s="3">
        <v>0.03</v>
      </c>
      <c r="H1301" t="s">
        <v>14</v>
      </c>
      <c r="I1301" t="s">
        <v>15</v>
      </c>
      <c r="J1301" t="s">
        <v>16</v>
      </c>
    </row>
    <row r="1302" spans="1:10" x14ac:dyDescent="0.45">
      <c r="A1302" t="s">
        <v>1830</v>
      </c>
      <c r="B1302" s="2">
        <v>46074</v>
      </c>
      <c r="C1302" t="s">
        <v>1576</v>
      </c>
      <c r="D1302" t="s">
        <v>614</v>
      </c>
      <c r="E1302" t="s">
        <v>152</v>
      </c>
      <c r="F1302">
        <v>1</v>
      </c>
      <c r="G1302" s="3">
        <v>0.15</v>
      </c>
      <c r="H1302" t="s">
        <v>14</v>
      </c>
      <c r="I1302" t="s">
        <v>27</v>
      </c>
      <c r="J1302" t="s">
        <v>16</v>
      </c>
    </row>
    <row r="1303" spans="1:10" x14ac:dyDescent="0.45">
      <c r="A1303" t="s">
        <v>1831</v>
      </c>
      <c r="B1303" s="2">
        <v>46040</v>
      </c>
      <c r="C1303" t="s">
        <v>609</v>
      </c>
      <c r="D1303" t="s">
        <v>71</v>
      </c>
      <c r="E1303" t="s">
        <v>20</v>
      </c>
      <c r="F1303">
        <v>7</v>
      </c>
      <c r="G1303" s="3">
        <v>0.2</v>
      </c>
      <c r="H1303" t="s">
        <v>53</v>
      </c>
      <c r="I1303" t="s">
        <v>54</v>
      </c>
      <c r="J1303" t="s">
        <v>59</v>
      </c>
    </row>
    <row r="1304" spans="1:10" x14ac:dyDescent="0.45">
      <c r="A1304" t="s">
        <v>1832</v>
      </c>
      <c r="B1304" s="2">
        <v>46179</v>
      </c>
      <c r="C1304" t="s">
        <v>800</v>
      </c>
      <c r="D1304" t="s">
        <v>238</v>
      </c>
      <c r="E1304" t="s">
        <v>82</v>
      </c>
      <c r="F1304">
        <v>7</v>
      </c>
      <c r="G1304" s="3">
        <v>0.03</v>
      </c>
      <c r="H1304" t="s">
        <v>14</v>
      </c>
      <c r="I1304" t="s">
        <v>27</v>
      </c>
      <c r="J1304" t="s">
        <v>21</v>
      </c>
    </row>
    <row r="1305" spans="1:10" x14ac:dyDescent="0.45">
      <c r="A1305" t="s">
        <v>1833</v>
      </c>
      <c r="B1305" s="2">
        <v>45689</v>
      </c>
      <c r="C1305" t="s">
        <v>569</v>
      </c>
      <c r="D1305" t="s">
        <v>235</v>
      </c>
      <c r="E1305" t="s">
        <v>82</v>
      </c>
      <c r="F1305">
        <v>7</v>
      </c>
      <c r="G1305" s="3">
        <v>0</v>
      </c>
      <c r="H1305" t="s">
        <v>14</v>
      </c>
      <c r="I1305" t="s">
        <v>54</v>
      </c>
      <c r="J1305" t="s">
        <v>16</v>
      </c>
    </row>
    <row r="1306" spans="1:10" x14ac:dyDescent="0.45">
      <c r="A1306" t="s">
        <v>1834</v>
      </c>
      <c r="B1306" s="2">
        <v>46060</v>
      </c>
      <c r="C1306" t="s">
        <v>661</v>
      </c>
      <c r="D1306" t="s">
        <v>139</v>
      </c>
      <c r="E1306" t="s">
        <v>152</v>
      </c>
      <c r="F1306">
        <v>5</v>
      </c>
      <c r="G1306" s="3">
        <v>0.2</v>
      </c>
      <c r="H1306" t="s">
        <v>53</v>
      </c>
      <c r="I1306" t="s">
        <v>27</v>
      </c>
      <c r="J1306" t="s">
        <v>21</v>
      </c>
    </row>
    <row r="1307" spans="1:10" x14ac:dyDescent="0.45">
      <c r="A1307" t="s">
        <v>1835</v>
      </c>
      <c r="B1307" s="2">
        <v>45973</v>
      </c>
      <c r="C1307" t="s">
        <v>482</v>
      </c>
      <c r="D1307" t="s">
        <v>114</v>
      </c>
      <c r="E1307" t="s">
        <v>281</v>
      </c>
      <c r="F1307">
        <v>8</v>
      </c>
      <c r="G1307" s="3">
        <v>0.2</v>
      </c>
      <c r="H1307" t="s">
        <v>14</v>
      </c>
      <c r="I1307" t="s">
        <v>54</v>
      </c>
      <c r="J1307" t="s">
        <v>21</v>
      </c>
    </row>
    <row r="1308" spans="1:10" x14ac:dyDescent="0.45">
      <c r="A1308" t="s">
        <v>1836</v>
      </c>
      <c r="B1308" s="2">
        <v>46203</v>
      </c>
      <c r="C1308" t="s">
        <v>890</v>
      </c>
      <c r="D1308" t="s">
        <v>210</v>
      </c>
      <c r="E1308" t="s">
        <v>281</v>
      </c>
      <c r="F1308">
        <v>9</v>
      </c>
      <c r="G1308" s="3">
        <v>0</v>
      </c>
      <c r="H1308" t="s">
        <v>14</v>
      </c>
      <c r="I1308" t="s">
        <v>27</v>
      </c>
      <c r="J1308" t="s">
        <v>36</v>
      </c>
    </row>
    <row r="1309" spans="1:10" x14ac:dyDescent="0.45">
      <c r="A1309" t="s">
        <v>1837</v>
      </c>
      <c r="B1309" s="2">
        <v>45891</v>
      </c>
      <c r="C1309" t="s">
        <v>1282</v>
      </c>
      <c r="D1309" t="s">
        <v>81</v>
      </c>
      <c r="E1309" t="s">
        <v>140</v>
      </c>
      <c r="F1309">
        <v>6</v>
      </c>
      <c r="G1309" s="3">
        <v>0.1</v>
      </c>
      <c r="H1309" t="s">
        <v>26</v>
      </c>
      <c r="I1309" t="s">
        <v>54</v>
      </c>
      <c r="J1309" t="s">
        <v>21</v>
      </c>
    </row>
    <row r="1310" spans="1:10" x14ac:dyDescent="0.45">
      <c r="A1310" t="s">
        <v>1838</v>
      </c>
      <c r="B1310" s="2">
        <v>46188</v>
      </c>
      <c r="C1310" t="s">
        <v>651</v>
      </c>
      <c r="D1310" t="s">
        <v>71</v>
      </c>
      <c r="E1310" t="s">
        <v>281</v>
      </c>
      <c r="F1310">
        <v>11</v>
      </c>
      <c r="G1310" s="3">
        <v>0.15</v>
      </c>
      <c r="H1310" t="s">
        <v>14</v>
      </c>
      <c r="I1310" t="s">
        <v>15</v>
      </c>
      <c r="J1310" t="s">
        <v>21</v>
      </c>
    </row>
    <row r="1311" spans="1:10" x14ac:dyDescent="0.45">
      <c r="A1311" t="s">
        <v>1839</v>
      </c>
      <c r="B1311" s="2">
        <v>45960</v>
      </c>
      <c r="C1311" t="s">
        <v>332</v>
      </c>
      <c r="D1311" t="s">
        <v>34</v>
      </c>
      <c r="E1311" t="s">
        <v>225</v>
      </c>
      <c r="F1311">
        <v>4</v>
      </c>
      <c r="G1311" s="3">
        <v>0.1</v>
      </c>
      <c r="H1311" t="s">
        <v>53</v>
      </c>
      <c r="I1311" t="s">
        <v>27</v>
      </c>
      <c r="J1311" t="s">
        <v>21</v>
      </c>
    </row>
    <row r="1312" spans="1:10" x14ac:dyDescent="0.45">
      <c r="A1312" t="s">
        <v>1840</v>
      </c>
      <c r="B1312" s="2">
        <v>45835</v>
      </c>
      <c r="C1312" t="s">
        <v>624</v>
      </c>
      <c r="D1312" t="s">
        <v>78</v>
      </c>
      <c r="E1312" t="s">
        <v>140</v>
      </c>
      <c r="F1312">
        <v>2</v>
      </c>
      <c r="G1312" s="3">
        <v>0.08</v>
      </c>
      <c r="H1312" t="s">
        <v>53</v>
      </c>
      <c r="I1312" t="s">
        <v>54</v>
      </c>
      <c r="J1312" t="s">
        <v>21</v>
      </c>
    </row>
    <row r="1313" spans="1:10" x14ac:dyDescent="0.45">
      <c r="A1313" t="s">
        <v>1841</v>
      </c>
      <c r="B1313" s="2">
        <v>46166</v>
      </c>
      <c r="C1313" t="s">
        <v>1842</v>
      </c>
      <c r="D1313" t="s">
        <v>57</v>
      </c>
      <c r="E1313" t="s">
        <v>144</v>
      </c>
      <c r="F1313">
        <v>6</v>
      </c>
      <c r="G1313" s="3">
        <v>0.05</v>
      </c>
      <c r="H1313" t="s">
        <v>14</v>
      </c>
      <c r="I1313" t="s">
        <v>27</v>
      </c>
      <c r="J1313" t="s">
        <v>36</v>
      </c>
    </row>
    <row r="1314" spans="1:10" x14ac:dyDescent="0.45">
      <c r="A1314" t="s">
        <v>1843</v>
      </c>
      <c r="B1314" s="2">
        <v>45807</v>
      </c>
      <c r="C1314" t="s">
        <v>291</v>
      </c>
      <c r="D1314" t="s">
        <v>272</v>
      </c>
      <c r="E1314" t="s">
        <v>281</v>
      </c>
      <c r="F1314">
        <v>5</v>
      </c>
      <c r="G1314" s="3">
        <v>0</v>
      </c>
      <c r="H1314" t="s">
        <v>14</v>
      </c>
      <c r="I1314" t="s">
        <v>15</v>
      </c>
      <c r="J1314" t="s">
        <v>16</v>
      </c>
    </row>
    <row r="1315" spans="1:10" x14ac:dyDescent="0.45">
      <c r="A1315" t="s">
        <v>1844</v>
      </c>
      <c r="B1315" s="2">
        <v>45851</v>
      </c>
      <c r="C1315" t="s">
        <v>861</v>
      </c>
      <c r="D1315" t="s">
        <v>256</v>
      </c>
      <c r="E1315" t="s">
        <v>127</v>
      </c>
      <c r="F1315">
        <v>5</v>
      </c>
      <c r="G1315" s="3">
        <v>0.2</v>
      </c>
      <c r="H1315" t="s">
        <v>14</v>
      </c>
      <c r="I1315" t="s">
        <v>27</v>
      </c>
      <c r="J1315" t="s">
        <v>21</v>
      </c>
    </row>
    <row r="1316" spans="1:10" x14ac:dyDescent="0.45">
      <c r="A1316" t="s">
        <v>1845</v>
      </c>
      <c r="B1316" s="2">
        <v>45710</v>
      </c>
      <c r="C1316" t="s">
        <v>740</v>
      </c>
      <c r="D1316" t="s">
        <v>430</v>
      </c>
      <c r="E1316" t="s">
        <v>152</v>
      </c>
      <c r="F1316">
        <v>7</v>
      </c>
      <c r="G1316" s="3">
        <v>0.2</v>
      </c>
      <c r="H1316" t="s">
        <v>14</v>
      </c>
      <c r="I1316" t="s">
        <v>15</v>
      </c>
      <c r="J1316" t="s">
        <v>21</v>
      </c>
    </row>
    <row r="1317" spans="1:10" x14ac:dyDescent="0.45">
      <c r="A1317" t="s">
        <v>1846</v>
      </c>
      <c r="B1317" s="2">
        <v>45843</v>
      </c>
      <c r="C1317" t="s">
        <v>1431</v>
      </c>
      <c r="D1317" t="s">
        <v>155</v>
      </c>
      <c r="E1317" t="s">
        <v>225</v>
      </c>
      <c r="F1317">
        <v>2</v>
      </c>
      <c r="G1317" s="3">
        <v>0.1</v>
      </c>
      <c r="H1317" t="s">
        <v>53</v>
      </c>
      <c r="I1317" t="s">
        <v>48</v>
      </c>
      <c r="J1317" t="s">
        <v>21</v>
      </c>
    </row>
    <row r="1318" spans="1:10" x14ac:dyDescent="0.45">
      <c r="A1318" t="s">
        <v>1847</v>
      </c>
      <c r="B1318" s="2">
        <v>45932</v>
      </c>
      <c r="C1318" t="s">
        <v>573</v>
      </c>
      <c r="D1318" t="s">
        <v>205</v>
      </c>
      <c r="E1318" t="s">
        <v>31</v>
      </c>
      <c r="F1318">
        <v>3</v>
      </c>
      <c r="G1318" s="3">
        <v>0</v>
      </c>
      <c r="H1318" t="s">
        <v>26</v>
      </c>
      <c r="I1318" t="s">
        <v>15</v>
      </c>
      <c r="J1318" t="s">
        <v>21</v>
      </c>
    </row>
    <row r="1319" spans="1:10" x14ac:dyDescent="0.45">
      <c r="A1319" t="s">
        <v>1848</v>
      </c>
      <c r="B1319" s="2">
        <v>45668</v>
      </c>
      <c r="C1319" t="s">
        <v>1359</v>
      </c>
      <c r="D1319" t="s">
        <v>196</v>
      </c>
      <c r="E1319" t="s">
        <v>35</v>
      </c>
      <c r="F1319">
        <v>2</v>
      </c>
      <c r="G1319" s="3">
        <v>0.1</v>
      </c>
      <c r="H1319" t="s">
        <v>26</v>
      </c>
      <c r="I1319" t="s">
        <v>27</v>
      </c>
      <c r="J1319" t="s">
        <v>21</v>
      </c>
    </row>
    <row r="1320" spans="1:10" x14ac:dyDescent="0.45">
      <c r="A1320" t="s">
        <v>1849</v>
      </c>
      <c r="B1320" s="2">
        <v>45931</v>
      </c>
      <c r="C1320" t="s">
        <v>628</v>
      </c>
      <c r="D1320" t="s">
        <v>151</v>
      </c>
      <c r="E1320" t="s">
        <v>218</v>
      </c>
      <c r="F1320">
        <v>9</v>
      </c>
      <c r="G1320" s="3">
        <v>0.1</v>
      </c>
      <c r="H1320" t="s">
        <v>53</v>
      </c>
      <c r="I1320" t="s">
        <v>54</v>
      </c>
      <c r="J1320" t="s">
        <v>21</v>
      </c>
    </row>
    <row r="1321" spans="1:10" x14ac:dyDescent="0.45">
      <c r="A1321" t="s">
        <v>1850</v>
      </c>
      <c r="B1321" s="2">
        <v>45883</v>
      </c>
      <c r="C1321" t="s">
        <v>120</v>
      </c>
      <c r="D1321" t="s">
        <v>88</v>
      </c>
      <c r="E1321" t="s">
        <v>40</v>
      </c>
      <c r="F1321">
        <v>3</v>
      </c>
      <c r="G1321" s="3">
        <v>0.15</v>
      </c>
      <c r="H1321" t="s">
        <v>14</v>
      </c>
      <c r="I1321" t="s">
        <v>48</v>
      </c>
      <c r="J1321" t="s">
        <v>107</v>
      </c>
    </row>
    <row r="1322" spans="1:10" x14ac:dyDescent="0.45">
      <c r="A1322" t="s">
        <v>1851</v>
      </c>
      <c r="B1322" s="2">
        <v>45934</v>
      </c>
      <c r="C1322" t="s">
        <v>890</v>
      </c>
      <c r="D1322" t="s">
        <v>94</v>
      </c>
      <c r="E1322" t="s">
        <v>111</v>
      </c>
      <c r="F1322">
        <v>8</v>
      </c>
      <c r="G1322" s="3">
        <v>0</v>
      </c>
      <c r="H1322" t="s">
        <v>14</v>
      </c>
      <c r="I1322" t="s">
        <v>15</v>
      </c>
      <c r="J1322" t="s">
        <v>21</v>
      </c>
    </row>
    <row r="1323" spans="1:10" x14ac:dyDescent="0.45">
      <c r="A1323" t="s">
        <v>1852</v>
      </c>
      <c r="B1323" s="2">
        <v>45835</v>
      </c>
      <c r="C1323" t="s">
        <v>291</v>
      </c>
      <c r="D1323" t="s">
        <v>34</v>
      </c>
      <c r="E1323" t="s">
        <v>144</v>
      </c>
      <c r="F1323">
        <v>4</v>
      </c>
      <c r="G1323" s="3">
        <v>0.08</v>
      </c>
      <c r="H1323" t="s">
        <v>14</v>
      </c>
      <c r="I1323" t="s">
        <v>54</v>
      </c>
      <c r="J1323" t="s">
        <v>59</v>
      </c>
    </row>
    <row r="1324" spans="1:10" x14ac:dyDescent="0.45">
      <c r="A1324" t="s">
        <v>1853</v>
      </c>
      <c r="B1324" s="2">
        <v>46053</v>
      </c>
      <c r="C1324" t="s">
        <v>520</v>
      </c>
      <c r="D1324" t="s">
        <v>78</v>
      </c>
      <c r="E1324" t="s">
        <v>82</v>
      </c>
      <c r="F1324">
        <v>8</v>
      </c>
      <c r="G1324" s="3">
        <v>0.05</v>
      </c>
      <c r="H1324" t="s">
        <v>14</v>
      </c>
      <c r="I1324" t="s">
        <v>48</v>
      </c>
      <c r="J1324" t="s">
        <v>21</v>
      </c>
    </row>
    <row r="1325" spans="1:10" x14ac:dyDescent="0.45">
      <c r="A1325" t="s">
        <v>1854</v>
      </c>
      <c r="B1325" s="2">
        <v>46051</v>
      </c>
      <c r="C1325" t="s">
        <v>670</v>
      </c>
      <c r="D1325" t="s">
        <v>500</v>
      </c>
      <c r="E1325" t="s">
        <v>225</v>
      </c>
      <c r="F1325">
        <v>10</v>
      </c>
      <c r="G1325" s="3">
        <v>0.15</v>
      </c>
      <c r="H1325" t="s">
        <v>14</v>
      </c>
      <c r="I1325" t="s">
        <v>27</v>
      </c>
      <c r="J1325" t="s">
        <v>21</v>
      </c>
    </row>
    <row r="1326" spans="1:10" x14ac:dyDescent="0.45">
      <c r="A1326" t="s">
        <v>1855</v>
      </c>
      <c r="B1326" s="2">
        <v>46194</v>
      </c>
      <c r="C1326" t="s">
        <v>90</v>
      </c>
      <c r="D1326" t="s">
        <v>210</v>
      </c>
      <c r="E1326" t="s">
        <v>13</v>
      </c>
      <c r="F1326">
        <v>6</v>
      </c>
      <c r="G1326" s="3">
        <v>0.1</v>
      </c>
      <c r="H1326" t="s">
        <v>14</v>
      </c>
      <c r="I1326" t="s">
        <v>15</v>
      </c>
      <c r="J1326" t="s">
        <v>16</v>
      </c>
    </row>
    <row r="1327" spans="1:10" x14ac:dyDescent="0.45">
      <c r="A1327" t="s">
        <v>1856</v>
      </c>
      <c r="B1327" s="2">
        <v>45805</v>
      </c>
      <c r="C1327" t="s">
        <v>795</v>
      </c>
      <c r="D1327" t="s">
        <v>249</v>
      </c>
      <c r="E1327" t="s">
        <v>58</v>
      </c>
      <c r="F1327">
        <v>12</v>
      </c>
      <c r="G1327" s="3">
        <v>0</v>
      </c>
      <c r="H1327" t="s">
        <v>53</v>
      </c>
      <c r="I1327" t="s">
        <v>15</v>
      </c>
      <c r="J1327" t="s">
        <v>21</v>
      </c>
    </row>
    <row r="1328" spans="1:10" x14ac:dyDescent="0.45">
      <c r="A1328" t="s">
        <v>1857</v>
      </c>
      <c r="B1328" s="2">
        <v>45979</v>
      </c>
      <c r="C1328" t="s">
        <v>1565</v>
      </c>
      <c r="D1328" t="s">
        <v>249</v>
      </c>
      <c r="E1328" t="s">
        <v>115</v>
      </c>
      <c r="F1328">
        <v>6</v>
      </c>
      <c r="G1328" s="3">
        <v>0.15</v>
      </c>
      <c r="H1328" t="s">
        <v>14</v>
      </c>
      <c r="I1328" t="s">
        <v>27</v>
      </c>
      <c r="J1328" t="s">
        <v>36</v>
      </c>
    </row>
    <row r="1329" spans="1:10" x14ac:dyDescent="0.45">
      <c r="A1329" t="s">
        <v>1858</v>
      </c>
      <c r="B1329" s="2">
        <v>45682</v>
      </c>
      <c r="C1329" t="s">
        <v>443</v>
      </c>
      <c r="D1329" t="s">
        <v>81</v>
      </c>
      <c r="E1329" t="s">
        <v>47</v>
      </c>
      <c r="F1329">
        <v>11</v>
      </c>
      <c r="G1329" s="3">
        <v>0.05</v>
      </c>
      <c r="H1329" t="s">
        <v>53</v>
      </c>
      <c r="I1329" t="s">
        <v>48</v>
      </c>
      <c r="J1329" t="s">
        <v>21</v>
      </c>
    </row>
    <row r="1330" spans="1:10" x14ac:dyDescent="0.45">
      <c r="A1330" t="s">
        <v>1859</v>
      </c>
      <c r="B1330" s="2">
        <v>46011</v>
      </c>
      <c r="C1330" t="s">
        <v>64</v>
      </c>
      <c r="D1330" t="s">
        <v>217</v>
      </c>
      <c r="E1330" t="s">
        <v>136</v>
      </c>
      <c r="F1330">
        <v>6</v>
      </c>
      <c r="G1330" s="3">
        <v>0.15</v>
      </c>
      <c r="H1330" t="s">
        <v>14</v>
      </c>
      <c r="I1330" t="s">
        <v>15</v>
      </c>
      <c r="J1330" t="s">
        <v>59</v>
      </c>
    </row>
    <row r="1331" spans="1:10" x14ac:dyDescent="0.45">
      <c r="A1331" t="s">
        <v>1860</v>
      </c>
      <c r="B1331" s="2">
        <v>45919</v>
      </c>
      <c r="C1331" t="s">
        <v>146</v>
      </c>
      <c r="D1331" t="s">
        <v>46</v>
      </c>
      <c r="E1331" t="s">
        <v>13</v>
      </c>
      <c r="F1331">
        <v>6</v>
      </c>
      <c r="G1331" s="3">
        <v>0.05</v>
      </c>
      <c r="H1331" t="s">
        <v>14</v>
      </c>
      <c r="I1331" t="s">
        <v>27</v>
      </c>
      <c r="J1331" t="s">
        <v>21</v>
      </c>
    </row>
    <row r="1332" spans="1:10" x14ac:dyDescent="0.45">
      <c r="A1332" t="s">
        <v>1861</v>
      </c>
      <c r="B1332" s="2">
        <v>46187</v>
      </c>
      <c r="C1332" t="s">
        <v>1862</v>
      </c>
      <c r="D1332" t="s">
        <v>614</v>
      </c>
      <c r="E1332" t="s">
        <v>197</v>
      </c>
      <c r="F1332">
        <v>10</v>
      </c>
      <c r="G1332" s="3">
        <v>0.05</v>
      </c>
      <c r="H1332" t="s">
        <v>53</v>
      </c>
      <c r="I1332" t="s">
        <v>15</v>
      </c>
      <c r="J1332" t="s">
        <v>21</v>
      </c>
    </row>
    <row r="1333" spans="1:10" x14ac:dyDescent="0.45">
      <c r="A1333" t="s">
        <v>1863</v>
      </c>
      <c r="B1333" s="2">
        <v>45820</v>
      </c>
      <c r="C1333" t="s">
        <v>802</v>
      </c>
      <c r="D1333" t="s">
        <v>151</v>
      </c>
      <c r="E1333" t="s">
        <v>127</v>
      </c>
      <c r="F1333">
        <v>2</v>
      </c>
      <c r="G1333" s="3">
        <v>0</v>
      </c>
      <c r="H1333" t="s">
        <v>14</v>
      </c>
      <c r="I1333" t="s">
        <v>27</v>
      </c>
      <c r="J1333" t="s">
        <v>21</v>
      </c>
    </row>
    <row r="1334" spans="1:10" x14ac:dyDescent="0.45">
      <c r="A1334" t="s">
        <v>1864</v>
      </c>
      <c r="B1334" s="2">
        <v>45943</v>
      </c>
      <c r="C1334" t="s">
        <v>1379</v>
      </c>
      <c r="D1334" t="s">
        <v>167</v>
      </c>
      <c r="E1334" t="s">
        <v>13</v>
      </c>
      <c r="F1334">
        <v>3</v>
      </c>
      <c r="G1334" s="3">
        <v>0.05</v>
      </c>
      <c r="H1334" t="s">
        <v>14</v>
      </c>
      <c r="I1334" t="s">
        <v>54</v>
      </c>
      <c r="J1334" t="s">
        <v>21</v>
      </c>
    </row>
    <row r="1335" spans="1:10" x14ac:dyDescent="0.45">
      <c r="A1335" t="s">
        <v>1865</v>
      </c>
      <c r="B1335" s="2">
        <v>45711</v>
      </c>
      <c r="C1335" t="s">
        <v>436</v>
      </c>
      <c r="D1335" t="s">
        <v>46</v>
      </c>
      <c r="E1335" t="s">
        <v>82</v>
      </c>
      <c r="F1335">
        <v>10</v>
      </c>
      <c r="G1335" s="3">
        <v>0.03</v>
      </c>
      <c r="H1335" t="s">
        <v>14</v>
      </c>
      <c r="I1335" t="s">
        <v>15</v>
      </c>
      <c r="J1335" t="s">
        <v>107</v>
      </c>
    </row>
    <row r="1336" spans="1:10" x14ac:dyDescent="0.45">
      <c r="A1336" t="s">
        <v>1866</v>
      </c>
      <c r="B1336" s="2">
        <v>45858</v>
      </c>
      <c r="C1336" t="s">
        <v>1527</v>
      </c>
      <c r="D1336" t="s">
        <v>283</v>
      </c>
      <c r="E1336" t="s">
        <v>97</v>
      </c>
      <c r="F1336">
        <v>10</v>
      </c>
      <c r="G1336" s="3">
        <v>0</v>
      </c>
      <c r="H1336" t="s">
        <v>14</v>
      </c>
      <c r="I1336" t="s">
        <v>48</v>
      </c>
      <c r="J1336" t="s">
        <v>21</v>
      </c>
    </row>
    <row r="1337" spans="1:10" x14ac:dyDescent="0.45">
      <c r="A1337" t="s">
        <v>1867</v>
      </c>
      <c r="B1337" s="2">
        <v>45785</v>
      </c>
      <c r="C1337" t="s">
        <v>70</v>
      </c>
      <c r="D1337" t="s">
        <v>185</v>
      </c>
      <c r="E1337" t="s">
        <v>52</v>
      </c>
      <c r="F1337">
        <v>8</v>
      </c>
      <c r="G1337" s="3">
        <v>0.1</v>
      </c>
      <c r="H1337" t="s">
        <v>53</v>
      </c>
      <c r="I1337" t="s">
        <v>54</v>
      </c>
      <c r="J1337" t="s">
        <v>21</v>
      </c>
    </row>
    <row r="1338" spans="1:10" x14ac:dyDescent="0.45">
      <c r="A1338" t="s">
        <v>1868</v>
      </c>
      <c r="B1338" s="2">
        <v>45991</v>
      </c>
      <c r="C1338" t="s">
        <v>360</v>
      </c>
      <c r="D1338" t="s">
        <v>410</v>
      </c>
      <c r="E1338" t="s">
        <v>97</v>
      </c>
      <c r="F1338">
        <v>3</v>
      </c>
      <c r="G1338" s="3">
        <v>0.08</v>
      </c>
      <c r="H1338" t="s">
        <v>14</v>
      </c>
      <c r="I1338" t="s">
        <v>48</v>
      </c>
      <c r="J1338" t="s">
        <v>21</v>
      </c>
    </row>
    <row r="1339" spans="1:10" x14ac:dyDescent="0.45">
      <c r="A1339" t="s">
        <v>1869</v>
      </c>
      <c r="B1339" s="2">
        <v>45829</v>
      </c>
      <c r="C1339" t="s">
        <v>1049</v>
      </c>
      <c r="D1339" t="s">
        <v>318</v>
      </c>
      <c r="E1339" t="s">
        <v>225</v>
      </c>
      <c r="F1339">
        <v>1</v>
      </c>
      <c r="G1339" s="3">
        <v>0.2</v>
      </c>
      <c r="H1339" t="s">
        <v>14</v>
      </c>
      <c r="I1339" t="s">
        <v>54</v>
      </c>
      <c r="J1339" t="s">
        <v>21</v>
      </c>
    </row>
    <row r="1340" spans="1:10" x14ac:dyDescent="0.45">
      <c r="A1340" t="s">
        <v>1870</v>
      </c>
      <c r="B1340" s="2">
        <v>45943</v>
      </c>
      <c r="C1340" t="s">
        <v>1489</v>
      </c>
      <c r="D1340" t="s">
        <v>139</v>
      </c>
      <c r="E1340" t="s">
        <v>197</v>
      </c>
      <c r="F1340">
        <v>8</v>
      </c>
      <c r="G1340" s="3">
        <v>0.05</v>
      </c>
      <c r="H1340" t="s">
        <v>14</v>
      </c>
      <c r="I1340" t="s">
        <v>48</v>
      </c>
      <c r="J1340" t="s">
        <v>59</v>
      </c>
    </row>
    <row r="1341" spans="1:10" x14ac:dyDescent="0.45">
      <c r="A1341" t="s">
        <v>1871</v>
      </c>
      <c r="B1341" s="2">
        <v>45701</v>
      </c>
      <c r="C1341" t="s">
        <v>466</v>
      </c>
      <c r="D1341" t="s">
        <v>114</v>
      </c>
      <c r="E1341" t="s">
        <v>40</v>
      </c>
      <c r="F1341">
        <v>2</v>
      </c>
      <c r="G1341" s="3">
        <v>0.15</v>
      </c>
      <c r="H1341" t="s">
        <v>14</v>
      </c>
      <c r="I1341" t="s">
        <v>27</v>
      </c>
      <c r="J1341" t="s">
        <v>21</v>
      </c>
    </row>
    <row r="1342" spans="1:10" x14ac:dyDescent="0.45">
      <c r="A1342" t="s">
        <v>1872</v>
      </c>
      <c r="B1342" s="2">
        <v>46062</v>
      </c>
      <c r="C1342" t="s">
        <v>64</v>
      </c>
      <c r="D1342" t="s">
        <v>210</v>
      </c>
      <c r="E1342" t="s">
        <v>20</v>
      </c>
      <c r="F1342">
        <v>9</v>
      </c>
      <c r="G1342" s="3">
        <v>0.15</v>
      </c>
      <c r="H1342" t="s">
        <v>53</v>
      </c>
      <c r="I1342" t="s">
        <v>15</v>
      </c>
      <c r="J1342" t="s">
        <v>107</v>
      </c>
    </row>
    <row r="1343" spans="1:10" x14ac:dyDescent="0.45">
      <c r="A1343" t="s">
        <v>1873</v>
      </c>
      <c r="B1343" s="2">
        <v>46072</v>
      </c>
      <c r="C1343" t="s">
        <v>204</v>
      </c>
      <c r="D1343" t="s">
        <v>158</v>
      </c>
      <c r="E1343" t="s">
        <v>82</v>
      </c>
      <c r="F1343">
        <v>5</v>
      </c>
      <c r="G1343" s="3">
        <v>0.15</v>
      </c>
      <c r="H1343" t="s">
        <v>14</v>
      </c>
      <c r="I1343" t="s">
        <v>15</v>
      </c>
      <c r="J1343" t="s">
        <v>21</v>
      </c>
    </row>
    <row r="1344" spans="1:10" x14ac:dyDescent="0.45">
      <c r="A1344" t="s">
        <v>1874</v>
      </c>
      <c r="B1344" s="2">
        <v>46034</v>
      </c>
      <c r="C1344" t="s">
        <v>494</v>
      </c>
      <c r="D1344" t="s">
        <v>249</v>
      </c>
      <c r="E1344" t="s">
        <v>127</v>
      </c>
      <c r="F1344">
        <v>5</v>
      </c>
      <c r="G1344" s="3">
        <v>0</v>
      </c>
      <c r="H1344" t="s">
        <v>53</v>
      </c>
      <c r="I1344" t="s">
        <v>15</v>
      </c>
      <c r="J1344" t="s">
        <v>21</v>
      </c>
    </row>
    <row r="1345" spans="1:10" x14ac:dyDescent="0.45">
      <c r="A1345" t="s">
        <v>1875</v>
      </c>
      <c r="B1345" s="2">
        <v>45980</v>
      </c>
      <c r="C1345" t="s">
        <v>679</v>
      </c>
      <c r="D1345" t="s">
        <v>139</v>
      </c>
      <c r="E1345" t="s">
        <v>97</v>
      </c>
      <c r="F1345">
        <v>8</v>
      </c>
      <c r="G1345" s="3">
        <v>0.05</v>
      </c>
      <c r="H1345" t="s">
        <v>53</v>
      </c>
      <c r="I1345" t="s">
        <v>54</v>
      </c>
      <c r="J1345" t="s">
        <v>21</v>
      </c>
    </row>
    <row r="1346" spans="1:10" x14ac:dyDescent="0.45">
      <c r="A1346" t="s">
        <v>1876</v>
      </c>
      <c r="B1346" s="2">
        <v>45801</v>
      </c>
      <c r="C1346" t="s">
        <v>913</v>
      </c>
      <c r="D1346" t="s">
        <v>167</v>
      </c>
      <c r="E1346" t="s">
        <v>85</v>
      </c>
      <c r="F1346">
        <v>11</v>
      </c>
      <c r="G1346" s="3">
        <v>0.08</v>
      </c>
      <c r="H1346" t="s">
        <v>14</v>
      </c>
      <c r="I1346" t="s">
        <v>54</v>
      </c>
      <c r="J1346" t="s">
        <v>21</v>
      </c>
    </row>
    <row r="1347" spans="1:10" x14ac:dyDescent="0.45">
      <c r="A1347" t="s">
        <v>1877</v>
      </c>
      <c r="B1347" s="2">
        <v>46156</v>
      </c>
      <c r="C1347" t="s">
        <v>1343</v>
      </c>
      <c r="D1347" t="s">
        <v>500</v>
      </c>
      <c r="E1347" t="s">
        <v>152</v>
      </c>
      <c r="F1347">
        <v>7</v>
      </c>
      <c r="G1347" s="3">
        <v>0.2</v>
      </c>
      <c r="H1347" t="s">
        <v>53</v>
      </c>
      <c r="I1347" t="s">
        <v>27</v>
      </c>
      <c r="J1347" t="s">
        <v>36</v>
      </c>
    </row>
    <row r="1348" spans="1:10" x14ac:dyDescent="0.45">
      <c r="A1348" t="s">
        <v>1878</v>
      </c>
      <c r="B1348" s="2">
        <v>45710</v>
      </c>
      <c r="C1348" t="s">
        <v>896</v>
      </c>
      <c r="D1348" t="s">
        <v>91</v>
      </c>
      <c r="E1348" t="s">
        <v>13</v>
      </c>
      <c r="F1348">
        <v>4</v>
      </c>
      <c r="G1348" s="3">
        <v>0.03</v>
      </c>
      <c r="H1348" t="s">
        <v>53</v>
      </c>
      <c r="I1348" t="s">
        <v>48</v>
      </c>
      <c r="J1348" t="s">
        <v>21</v>
      </c>
    </row>
    <row r="1349" spans="1:10" x14ac:dyDescent="0.45">
      <c r="A1349" t="s">
        <v>1879</v>
      </c>
      <c r="B1349" s="2">
        <v>46053</v>
      </c>
      <c r="C1349" t="s">
        <v>109</v>
      </c>
      <c r="D1349" t="s">
        <v>170</v>
      </c>
      <c r="E1349" t="s">
        <v>85</v>
      </c>
      <c r="F1349">
        <v>11</v>
      </c>
      <c r="G1349" s="3">
        <v>0.15</v>
      </c>
      <c r="H1349" t="s">
        <v>14</v>
      </c>
      <c r="I1349" t="s">
        <v>27</v>
      </c>
      <c r="J1349" t="s">
        <v>21</v>
      </c>
    </row>
    <row r="1350" spans="1:10" x14ac:dyDescent="0.45">
      <c r="A1350" t="s">
        <v>1880</v>
      </c>
      <c r="B1350" s="2">
        <v>45699</v>
      </c>
      <c r="C1350" t="s">
        <v>546</v>
      </c>
      <c r="D1350" t="s">
        <v>43</v>
      </c>
      <c r="E1350" t="s">
        <v>47</v>
      </c>
      <c r="F1350">
        <v>8</v>
      </c>
      <c r="G1350" s="3">
        <v>0</v>
      </c>
      <c r="H1350" t="s">
        <v>14</v>
      </c>
      <c r="I1350" t="s">
        <v>54</v>
      </c>
      <c r="J1350" t="s">
        <v>21</v>
      </c>
    </row>
    <row r="1351" spans="1:10" x14ac:dyDescent="0.45">
      <c r="A1351" t="s">
        <v>1881</v>
      </c>
      <c r="B1351" s="2">
        <v>45761</v>
      </c>
      <c r="C1351" t="s">
        <v>269</v>
      </c>
      <c r="D1351" t="s">
        <v>179</v>
      </c>
      <c r="E1351" t="s">
        <v>97</v>
      </c>
      <c r="F1351">
        <v>3</v>
      </c>
      <c r="G1351" s="3">
        <v>0.08</v>
      </c>
      <c r="H1351" t="s">
        <v>14</v>
      </c>
      <c r="I1351" t="s">
        <v>54</v>
      </c>
      <c r="J1351" t="s">
        <v>21</v>
      </c>
    </row>
    <row r="1352" spans="1:10" x14ac:dyDescent="0.45">
      <c r="A1352" t="s">
        <v>1882</v>
      </c>
      <c r="B1352" s="2">
        <v>46071</v>
      </c>
      <c r="C1352" t="s">
        <v>668</v>
      </c>
      <c r="D1352" t="s">
        <v>19</v>
      </c>
      <c r="E1352" t="s">
        <v>85</v>
      </c>
      <c r="F1352">
        <v>6</v>
      </c>
      <c r="G1352" s="3">
        <v>0.2</v>
      </c>
      <c r="H1352" t="s">
        <v>14</v>
      </c>
      <c r="I1352" t="s">
        <v>27</v>
      </c>
      <c r="J1352" t="s">
        <v>21</v>
      </c>
    </row>
    <row r="1353" spans="1:10" x14ac:dyDescent="0.45">
      <c r="A1353" t="s">
        <v>1883</v>
      </c>
      <c r="B1353" s="2">
        <v>45784</v>
      </c>
      <c r="C1353" t="s">
        <v>350</v>
      </c>
      <c r="D1353" t="s">
        <v>126</v>
      </c>
      <c r="E1353" t="s">
        <v>197</v>
      </c>
      <c r="F1353">
        <v>8</v>
      </c>
      <c r="G1353" s="3">
        <v>0.2</v>
      </c>
      <c r="H1353" t="s">
        <v>14</v>
      </c>
      <c r="I1353" t="s">
        <v>48</v>
      </c>
      <c r="J1353" t="s">
        <v>21</v>
      </c>
    </row>
    <row r="1354" spans="1:10" x14ac:dyDescent="0.45">
      <c r="A1354" t="s">
        <v>1884</v>
      </c>
      <c r="B1354" s="2">
        <v>45726</v>
      </c>
      <c r="C1354" t="s">
        <v>87</v>
      </c>
      <c r="D1354" t="s">
        <v>196</v>
      </c>
      <c r="E1354" t="s">
        <v>140</v>
      </c>
      <c r="F1354">
        <v>3</v>
      </c>
      <c r="G1354" s="3">
        <v>0.15</v>
      </c>
      <c r="H1354" t="s">
        <v>14</v>
      </c>
      <c r="I1354" t="s">
        <v>15</v>
      </c>
      <c r="J1354" t="s">
        <v>59</v>
      </c>
    </row>
    <row r="1355" spans="1:10" x14ac:dyDescent="0.45">
      <c r="A1355" t="s">
        <v>1885</v>
      </c>
      <c r="B1355" s="2">
        <v>45803</v>
      </c>
      <c r="C1355" t="s">
        <v>255</v>
      </c>
      <c r="D1355" t="s">
        <v>312</v>
      </c>
      <c r="E1355" t="s">
        <v>225</v>
      </c>
      <c r="F1355">
        <v>4</v>
      </c>
      <c r="G1355" s="3">
        <v>0</v>
      </c>
      <c r="H1355" t="s">
        <v>53</v>
      </c>
      <c r="I1355" t="s">
        <v>27</v>
      </c>
      <c r="J1355" t="s">
        <v>21</v>
      </c>
    </row>
    <row r="1356" spans="1:10" x14ac:dyDescent="0.45">
      <c r="A1356" t="s">
        <v>1886</v>
      </c>
      <c r="B1356" s="2">
        <v>45670</v>
      </c>
      <c r="C1356" t="s">
        <v>445</v>
      </c>
      <c r="D1356" t="s">
        <v>348</v>
      </c>
      <c r="E1356" t="s">
        <v>101</v>
      </c>
      <c r="F1356">
        <v>3</v>
      </c>
      <c r="G1356" s="3">
        <v>0.05</v>
      </c>
      <c r="H1356" t="s">
        <v>14</v>
      </c>
      <c r="I1356" t="s">
        <v>54</v>
      </c>
      <c r="J1356" t="s">
        <v>21</v>
      </c>
    </row>
    <row r="1357" spans="1:10" x14ac:dyDescent="0.45">
      <c r="A1357" t="s">
        <v>1887</v>
      </c>
      <c r="B1357" s="2">
        <v>45919</v>
      </c>
      <c r="C1357" t="s">
        <v>804</v>
      </c>
      <c r="D1357" t="s">
        <v>295</v>
      </c>
      <c r="E1357" t="s">
        <v>52</v>
      </c>
      <c r="F1357">
        <v>4</v>
      </c>
      <c r="G1357" s="3">
        <v>0</v>
      </c>
      <c r="H1357" t="s">
        <v>26</v>
      </c>
      <c r="I1357" t="s">
        <v>54</v>
      </c>
      <c r="J1357" t="s">
        <v>36</v>
      </c>
    </row>
    <row r="1358" spans="1:10" x14ac:dyDescent="0.45">
      <c r="A1358" t="s">
        <v>1888</v>
      </c>
      <c r="B1358" s="2">
        <v>45882</v>
      </c>
      <c r="C1358" t="s">
        <v>1168</v>
      </c>
      <c r="D1358" t="s">
        <v>238</v>
      </c>
      <c r="E1358" t="s">
        <v>127</v>
      </c>
      <c r="F1358">
        <v>8</v>
      </c>
      <c r="G1358" s="3">
        <v>0.03</v>
      </c>
      <c r="H1358" t="s">
        <v>26</v>
      </c>
      <c r="I1358" t="s">
        <v>15</v>
      </c>
      <c r="J1358" t="s">
        <v>21</v>
      </c>
    </row>
    <row r="1359" spans="1:10" x14ac:dyDescent="0.45">
      <c r="A1359" t="s">
        <v>1889</v>
      </c>
      <c r="B1359" s="2">
        <v>46039</v>
      </c>
      <c r="C1359" t="s">
        <v>1265</v>
      </c>
      <c r="D1359" t="s">
        <v>75</v>
      </c>
      <c r="E1359" t="s">
        <v>281</v>
      </c>
      <c r="F1359">
        <v>8</v>
      </c>
      <c r="G1359" s="3">
        <v>0.08</v>
      </c>
      <c r="H1359" t="s">
        <v>14</v>
      </c>
      <c r="I1359" t="s">
        <v>27</v>
      </c>
      <c r="J1359" t="s">
        <v>21</v>
      </c>
    </row>
    <row r="1360" spans="1:10" x14ac:dyDescent="0.45">
      <c r="A1360" t="s">
        <v>1890</v>
      </c>
      <c r="B1360" s="2">
        <v>46190</v>
      </c>
      <c r="C1360" t="s">
        <v>725</v>
      </c>
      <c r="D1360" t="s">
        <v>404</v>
      </c>
      <c r="E1360" t="s">
        <v>225</v>
      </c>
      <c r="F1360">
        <v>11</v>
      </c>
      <c r="G1360" s="3">
        <v>0.08</v>
      </c>
      <c r="H1360" t="s">
        <v>53</v>
      </c>
      <c r="I1360" t="s">
        <v>54</v>
      </c>
      <c r="J1360" t="s">
        <v>21</v>
      </c>
    </row>
    <row r="1361" spans="1:10" x14ac:dyDescent="0.45">
      <c r="A1361" t="s">
        <v>1891</v>
      </c>
      <c r="B1361" s="2">
        <v>45936</v>
      </c>
      <c r="C1361" t="s">
        <v>781</v>
      </c>
      <c r="D1361" t="s">
        <v>235</v>
      </c>
      <c r="E1361" t="s">
        <v>47</v>
      </c>
      <c r="F1361">
        <v>6</v>
      </c>
      <c r="G1361" s="3">
        <v>0.08</v>
      </c>
      <c r="H1361" t="s">
        <v>14</v>
      </c>
      <c r="I1361" t="s">
        <v>15</v>
      </c>
      <c r="J1361" t="s">
        <v>21</v>
      </c>
    </row>
    <row r="1362" spans="1:10" x14ac:dyDescent="0.45">
      <c r="A1362" t="s">
        <v>1892</v>
      </c>
      <c r="B1362" s="2">
        <v>45767</v>
      </c>
      <c r="C1362" t="s">
        <v>531</v>
      </c>
      <c r="D1362" t="s">
        <v>391</v>
      </c>
      <c r="E1362" t="s">
        <v>152</v>
      </c>
      <c r="F1362">
        <v>3</v>
      </c>
      <c r="G1362" s="3">
        <v>0.05</v>
      </c>
      <c r="H1362" t="s">
        <v>53</v>
      </c>
      <c r="I1362" t="s">
        <v>54</v>
      </c>
      <c r="J1362" t="s">
        <v>36</v>
      </c>
    </row>
    <row r="1363" spans="1:10" x14ac:dyDescent="0.45">
      <c r="A1363" t="s">
        <v>1893</v>
      </c>
      <c r="B1363" s="2">
        <v>45758</v>
      </c>
      <c r="C1363" t="s">
        <v>1348</v>
      </c>
      <c r="D1363" t="s">
        <v>449</v>
      </c>
      <c r="E1363" t="s">
        <v>225</v>
      </c>
      <c r="F1363">
        <v>12</v>
      </c>
      <c r="G1363" s="3">
        <v>0.1</v>
      </c>
      <c r="H1363" t="s">
        <v>14</v>
      </c>
      <c r="I1363" t="s">
        <v>15</v>
      </c>
      <c r="J1363" t="s">
        <v>21</v>
      </c>
    </row>
    <row r="1364" spans="1:10" x14ac:dyDescent="0.45">
      <c r="A1364" t="s">
        <v>1894</v>
      </c>
      <c r="B1364" s="2">
        <v>45906</v>
      </c>
      <c r="C1364" t="s">
        <v>1441</v>
      </c>
      <c r="D1364" t="s">
        <v>391</v>
      </c>
      <c r="E1364" t="s">
        <v>127</v>
      </c>
      <c r="F1364">
        <v>3</v>
      </c>
      <c r="G1364" s="3">
        <v>0.2</v>
      </c>
      <c r="H1364" t="s">
        <v>26</v>
      </c>
      <c r="I1364" t="s">
        <v>48</v>
      </c>
      <c r="J1364" t="s">
        <v>16</v>
      </c>
    </row>
    <row r="1365" spans="1:10" x14ac:dyDescent="0.45">
      <c r="A1365" t="s">
        <v>1895</v>
      </c>
      <c r="B1365" s="2">
        <v>46100</v>
      </c>
      <c r="C1365" t="s">
        <v>1049</v>
      </c>
      <c r="D1365" t="s">
        <v>235</v>
      </c>
      <c r="E1365" t="s">
        <v>136</v>
      </c>
      <c r="F1365">
        <v>3</v>
      </c>
      <c r="G1365" s="3">
        <v>0.15</v>
      </c>
      <c r="H1365" t="s">
        <v>14</v>
      </c>
      <c r="I1365" t="s">
        <v>48</v>
      </c>
      <c r="J1365" t="s">
        <v>21</v>
      </c>
    </row>
    <row r="1366" spans="1:10" x14ac:dyDescent="0.45">
      <c r="A1366" t="s">
        <v>1896</v>
      </c>
      <c r="B1366" s="2">
        <v>45899</v>
      </c>
      <c r="C1366" t="s">
        <v>633</v>
      </c>
      <c r="D1366" t="s">
        <v>155</v>
      </c>
      <c r="E1366" t="s">
        <v>101</v>
      </c>
      <c r="F1366">
        <v>8</v>
      </c>
      <c r="G1366" s="3">
        <v>0.2</v>
      </c>
      <c r="H1366" t="s">
        <v>26</v>
      </c>
      <c r="I1366" t="s">
        <v>15</v>
      </c>
      <c r="J1366" t="s">
        <v>21</v>
      </c>
    </row>
    <row r="1367" spans="1:10" x14ac:dyDescent="0.45">
      <c r="A1367" t="s">
        <v>1897</v>
      </c>
      <c r="B1367" s="2">
        <v>45951</v>
      </c>
      <c r="C1367" t="s">
        <v>516</v>
      </c>
      <c r="D1367" t="s">
        <v>235</v>
      </c>
      <c r="E1367" t="s">
        <v>218</v>
      </c>
      <c r="F1367">
        <v>4</v>
      </c>
      <c r="G1367" s="3">
        <v>0.03</v>
      </c>
      <c r="H1367" t="s">
        <v>14</v>
      </c>
      <c r="I1367" t="s">
        <v>27</v>
      </c>
      <c r="J1367" t="s">
        <v>21</v>
      </c>
    </row>
    <row r="1368" spans="1:10" x14ac:dyDescent="0.45">
      <c r="A1368" t="s">
        <v>1898</v>
      </c>
      <c r="B1368" s="2">
        <v>45742</v>
      </c>
      <c r="C1368" t="s">
        <v>142</v>
      </c>
      <c r="D1368" t="s">
        <v>143</v>
      </c>
      <c r="E1368" t="s">
        <v>127</v>
      </c>
      <c r="F1368">
        <v>12</v>
      </c>
      <c r="G1368" s="3">
        <v>0</v>
      </c>
      <c r="H1368" t="s">
        <v>14</v>
      </c>
      <c r="I1368" t="s">
        <v>15</v>
      </c>
      <c r="J1368" t="s">
        <v>21</v>
      </c>
    </row>
    <row r="1369" spans="1:10" x14ac:dyDescent="0.45">
      <c r="A1369" t="s">
        <v>1899</v>
      </c>
      <c r="B1369" s="2">
        <v>45660</v>
      </c>
      <c r="C1369" t="s">
        <v>663</v>
      </c>
      <c r="D1369" t="s">
        <v>246</v>
      </c>
      <c r="E1369" t="s">
        <v>35</v>
      </c>
      <c r="F1369">
        <v>8</v>
      </c>
      <c r="G1369" s="3">
        <v>0.03</v>
      </c>
      <c r="H1369" t="s">
        <v>14</v>
      </c>
      <c r="I1369" t="s">
        <v>27</v>
      </c>
      <c r="J1369" t="s">
        <v>107</v>
      </c>
    </row>
    <row r="1370" spans="1:10" x14ac:dyDescent="0.45">
      <c r="A1370" t="s">
        <v>1900</v>
      </c>
      <c r="B1370" s="2">
        <v>45747</v>
      </c>
      <c r="C1370" t="s">
        <v>638</v>
      </c>
      <c r="D1370" t="s">
        <v>158</v>
      </c>
      <c r="E1370" t="s">
        <v>20</v>
      </c>
      <c r="F1370">
        <v>1</v>
      </c>
      <c r="G1370" s="3">
        <v>0.03</v>
      </c>
      <c r="H1370" t="s">
        <v>53</v>
      </c>
      <c r="I1370" t="s">
        <v>27</v>
      </c>
      <c r="J1370" t="s">
        <v>21</v>
      </c>
    </row>
    <row r="1371" spans="1:10" x14ac:dyDescent="0.45">
      <c r="A1371" t="s">
        <v>1901</v>
      </c>
      <c r="B1371" s="2">
        <v>45658</v>
      </c>
      <c r="C1371" t="s">
        <v>93</v>
      </c>
      <c r="D1371" t="s">
        <v>241</v>
      </c>
      <c r="E1371" t="s">
        <v>35</v>
      </c>
      <c r="F1371">
        <v>4</v>
      </c>
      <c r="G1371" s="3">
        <v>0.03</v>
      </c>
      <c r="H1371" t="s">
        <v>53</v>
      </c>
      <c r="I1371" t="s">
        <v>15</v>
      </c>
      <c r="J1371" t="s">
        <v>21</v>
      </c>
    </row>
    <row r="1372" spans="1:10" x14ac:dyDescent="0.45">
      <c r="A1372" t="s">
        <v>1902</v>
      </c>
      <c r="B1372" s="2">
        <v>46196</v>
      </c>
      <c r="C1372" t="s">
        <v>1903</v>
      </c>
      <c r="D1372" t="s">
        <v>65</v>
      </c>
      <c r="E1372" t="s">
        <v>82</v>
      </c>
      <c r="F1372">
        <v>2</v>
      </c>
      <c r="G1372" s="3">
        <v>0.08</v>
      </c>
      <c r="H1372" t="s">
        <v>14</v>
      </c>
      <c r="I1372" t="s">
        <v>15</v>
      </c>
      <c r="J1372" t="s">
        <v>21</v>
      </c>
    </row>
    <row r="1373" spans="1:10" x14ac:dyDescent="0.45">
      <c r="A1373" t="s">
        <v>1904</v>
      </c>
      <c r="B1373" s="2">
        <v>46185</v>
      </c>
      <c r="C1373" t="s">
        <v>1412</v>
      </c>
      <c r="D1373" t="s">
        <v>100</v>
      </c>
      <c r="E1373" t="s">
        <v>25</v>
      </c>
      <c r="F1373">
        <v>2</v>
      </c>
      <c r="G1373" s="3">
        <v>0.2</v>
      </c>
      <c r="H1373" t="s">
        <v>53</v>
      </c>
      <c r="I1373" t="s">
        <v>27</v>
      </c>
      <c r="J1373" t="s">
        <v>21</v>
      </c>
    </row>
    <row r="1374" spans="1:10" x14ac:dyDescent="0.45">
      <c r="A1374" t="s">
        <v>1905</v>
      </c>
      <c r="B1374" s="2">
        <v>46142</v>
      </c>
      <c r="C1374" t="s">
        <v>480</v>
      </c>
      <c r="D1374" t="s">
        <v>100</v>
      </c>
      <c r="E1374" t="s">
        <v>72</v>
      </c>
      <c r="F1374">
        <v>8</v>
      </c>
      <c r="G1374" s="3">
        <v>0.1</v>
      </c>
      <c r="H1374" t="s">
        <v>26</v>
      </c>
      <c r="I1374" t="s">
        <v>27</v>
      </c>
      <c r="J1374" t="s">
        <v>21</v>
      </c>
    </row>
    <row r="1375" spans="1:10" x14ac:dyDescent="0.45">
      <c r="A1375" t="s">
        <v>1906</v>
      </c>
      <c r="B1375" s="2">
        <v>45898</v>
      </c>
      <c r="C1375" t="s">
        <v>1907</v>
      </c>
      <c r="D1375" t="s">
        <v>380</v>
      </c>
      <c r="E1375" t="s">
        <v>13</v>
      </c>
      <c r="F1375">
        <v>5</v>
      </c>
      <c r="G1375" s="3">
        <v>0.1</v>
      </c>
      <c r="H1375" t="s">
        <v>14</v>
      </c>
      <c r="I1375" t="s">
        <v>15</v>
      </c>
      <c r="J1375" t="s">
        <v>21</v>
      </c>
    </row>
    <row r="1376" spans="1:10" x14ac:dyDescent="0.45">
      <c r="A1376" t="s">
        <v>1908</v>
      </c>
      <c r="B1376" s="2">
        <v>45718</v>
      </c>
      <c r="C1376" t="s">
        <v>353</v>
      </c>
      <c r="D1376" t="s">
        <v>51</v>
      </c>
      <c r="E1376" t="s">
        <v>127</v>
      </c>
      <c r="F1376">
        <v>10</v>
      </c>
      <c r="G1376" s="3">
        <v>0</v>
      </c>
      <c r="H1376" t="s">
        <v>14</v>
      </c>
      <c r="I1376" t="s">
        <v>15</v>
      </c>
      <c r="J1376" t="s">
        <v>21</v>
      </c>
    </row>
    <row r="1377" spans="1:10" x14ac:dyDescent="0.45">
      <c r="A1377" t="s">
        <v>1909</v>
      </c>
      <c r="B1377" s="2">
        <v>45998</v>
      </c>
      <c r="C1377" t="s">
        <v>1467</v>
      </c>
      <c r="D1377" t="s">
        <v>39</v>
      </c>
      <c r="E1377" t="s">
        <v>101</v>
      </c>
      <c r="F1377">
        <v>12</v>
      </c>
      <c r="G1377" s="3">
        <v>0.1</v>
      </c>
      <c r="H1377" t="s">
        <v>14</v>
      </c>
      <c r="I1377" t="s">
        <v>15</v>
      </c>
      <c r="J1377" t="s">
        <v>21</v>
      </c>
    </row>
    <row r="1378" spans="1:10" x14ac:dyDescent="0.45">
      <c r="A1378" t="s">
        <v>1910</v>
      </c>
      <c r="B1378" s="2">
        <v>45967</v>
      </c>
      <c r="C1378" t="s">
        <v>761</v>
      </c>
      <c r="D1378" t="s">
        <v>43</v>
      </c>
      <c r="E1378" t="s">
        <v>111</v>
      </c>
      <c r="F1378">
        <v>12</v>
      </c>
      <c r="G1378" s="3">
        <v>0.05</v>
      </c>
      <c r="H1378" t="s">
        <v>53</v>
      </c>
      <c r="I1378" t="s">
        <v>48</v>
      </c>
      <c r="J1378" t="s">
        <v>21</v>
      </c>
    </row>
    <row r="1379" spans="1:10" x14ac:dyDescent="0.45">
      <c r="A1379" t="s">
        <v>1911</v>
      </c>
      <c r="B1379" s="2">
        <v>45725</v>
      </c>
      <c r="C1379" t="s">
        <v>508</v>
      </c>
      <c r="D1379" t="s">
        <v>71</v>
      </c>
      <c r="E1379" t="s">
        <v>58</v>
      </c>
      <c r="F1379">
        <v>1</v>
      </c>
      <c r="G1379" s="3">
        <v>0</v>
      </c>
      <c r="H1379" t="s">
        <v>53</v>
      </c>
      <c r="I1379" t="s">
        <v>27</v>
      </c>
      <c r="J1379" t="s">
        <v>21</v>
      </c>
    </row>
    <row r="1380" spans="1:10" x14ac:dyDescent="0.45">
      <c r="A1380" t="s">
        <v>1912</v>
      </c>
      <c r="B1380" s="2">
        <v>46065</v>
      </c>
      <c r="C1380" t="s">
        <v>1319</v>
      </c>
      <c r="D1380" t="s">
        <v>365</v>
      </c>
      <c r="E1380" t="s">
        <v>85</v>
      </c>
      <c r="F1380">
        <v>12</v>
      </c>
      <c r="G1380" s="3">
        <v>0.1</v>
      </c>
      <c r="H1380" t="s">
        <v>14</v>
      </c>
      <c r="I1380" t="s">
        <v>27</v>
      </c>
      <c r="J1380" t="s">
        <v>59</v>
      </c>
    </row>
    <row r="1381" spans="1:10" x14ac:dyDescent="0.45">
      <c r="A1381" t="s">
        <v>1913</v>
      </c>
      <c r="B1381" s="2">
        <v>45980</v>
      </c>
      <c r="C1381" t="s">
        <v>455</v>
      </c>
      <c r="D1381" t="s">
        <v>295</v>
      </c>
      <c r="E1381" t="s">
        <v>20</v>
      </c>
      <c r="F1381">
        <v>10</v>
      </c>
      <c r="G1381" s="3">
        <v>0.03</v>
      </c>
      <c r="H1381" t="s">
        <v>14</v>
      </c>
      <c r="I1381" t="s">
        <v>54</v>
      </c>
      <c r="J1381" t="s">
        <v>107</v>
      </c>
    </row>
    <row r="1382" spans="1:10" x14ac:dyDescent="0.45">
      <c r="A1382" t="s">
        <v>1914</v>
      </c>
      <c r="B1382" s="2">
        <v>46000</v>
      </c>
      <c r="C1382" t="s">
        <v>214</v>
      </c>
      <c r="D1382" t="s">
        <v>46</v>
      </c>
      <c r="E1382" t="s">
        <v>47</v>
      </c>
      <c r="F1382">
        <v>3</v>
      </c>
      <c r="G1382" s="3">
        <v>0</v>
      </c>
      <c r="H1382" t="s">
        <v>53</v>
      </c>
      <c r="I1382" t="s">
        <v>54</v>
      </c>
      <c r="J1382" t="s">
        <v>21</v>
      </c>
    </row>
    <row r="1383" spans="1:10" x14ac:dyDescent="0.45">
      <c r="A1383" t="s">
        <v>1915</v>
      </c>
      <c r="B1383" s="2">
        <v>45842</v>
      </c>
      <c r="C1383" t="s">
        <v>1736</v>
      </c>
      <c r="D1383" t="s">
        <v>205</v>
      </c>
      <c r="E1383" t="s">
        <v>115</v>
      </c>
      <c r="F1383">
        <v>7</v>
      </c>
      <c r="G1383" s="3">
        <v>0</v>
      </c>
      <c r="H1383" t="s">
        <v>53</v>
      </c>
      <c r="I1383" t="s">
        <v>27</v>
      </c>
      <c r="J1383" t="s">
        <v>59</v>
      </c>
    </row>
    <row r="1384" spans="1:10" x14ac:dyDescent="0.45">
      <c r="A1384" t="s">
        <v>1916</v>
      </c>
      <c r="B1384" s="2">
        <v>46003</v>
      </c>
      <c r="C1384" t="s">
        <v>64</v>
      </c>
      <c r="D1384" t="s">
        <v>34</v>
      </c>
      <c r="E1384" t="s">
        <v>58</v>
      </c>
      <c r="F1384">
        <v>1</v>
      </c>
      <c r="G1384" s="3">
        <v>0</v>
      </c>
      <c r="H1384" t="s">
        <v>14</v>
      </c>
      <c r="I1384" t="s">
        <v>54</v>
      </c>
      <c r="J1384" t="s">
        <v>21</v>
      </c>
    </row>
    <row r="1385" spans="1:10" x14ac:dyDescent="0.45">
      <c r="A1385" t="s">
        <v>1917</v>
      </c>
      <c r="B1385" s="2">
        <v>46201</v>
      </c>
      <c r="C1385" t="s">
        <v>925</v>
      </c>
      <c r="D1385" t="s">
        <v>233</v>
      </c>
      <c r="E1385" t="s">
        <v>152</v>
      </c>
      <c r="F1385">
        <v>7</v>
      </c>
      <c r="G1385" s="3">
        <v>0.05</v>
      </c>
      <c r="H1385" t="s">
        <v>14</v>
      </c>
      <c r="I1385" t="s">
        <v>48</v>
      </c>
      <c r="J1385" t="s">
        <v>21</v>
      </c>
    </row>
    <row r="1386" spans="1:10" x14ac:dyDescent="0.45">
      <c r="A1386" t="s">
        <v>1918</v>
      </c>
      <c r="B1386" s="2">
        <v>45955</v>
      </c>
      <c r="C1386" t="s">
        <v>1794</v>
      </c>
      <c r="D1386" t="s">
        <v>191</v>
      </c>
      <c r="E1386" t="s">
        <v>52</v>
      </c>
      <c r="F1386">
        <v>9</v>
      </c>
      <c r="G1386" s="3">
        <v>0.2</v>
      </c>
      <c r="H1386" t="s">
        <v>14</v>
      </c>
      <c r="I1386" t="s">
        <v>27</v>
      </c>
      <c r="J1386" t="s">
        <v>21</v>
      </c>
    </row>
    <row r="1387" spans="1:10" x14ac:dyDescent="0.45">
      <c r="A1387" t="s">
        <v>1919</v>
      </c>
      <c r="B1387" s="2">
        <v>46085</v>
      </c>
      <c r="C1387" t="s">
        <v>462</v>
      </c>
      <c r="D1387" t="s">
        <v>277</v>
      </c>
      <c r="E1387" t="s">
        <v>47</v>
      </c>
      <c r="F1387">
        <v>8</v>
      </c>
      <c r="G1387" s="3">
        <v>0.05</v>
      </c>
      <c r="H1387" t="s">
        <v>26</v>
      </c>
      <c r="I1387" t="s">
        <v>54</v>
      </c>
      <c r="J1387" t="s">
        <v>21</v>
      </c>
    </row>
    <row r="1388" spans="1:10" x14ac:dyDescent="0.45">
      <c r="A1388" t="s">
        <v>1920</v>
      </c>
      <c r="B1388" s="2">
        <v>45918</v>
      </c>
      <c r="C1388" t="s">
        <v>679</v>
      </c>
      <c r="D1388" t="s">
        <v>51</v>
      </c>
      <c r="E1388" t="s">
        <v>218</v>
      </c>
      <c r="F1388">
        <v>7</v>
      </c>
      <c r="G1388" s="3">
        <v>0.08</v>
      </c>
      <c r="H1388" t="s">
        <v>14</v>
      </c>
      <c r="I1388" t="s">
        <v>54</v>
      </c>
      <c r="J1388" t="s">
        <v>21</v>
      </c>
    </row>
    <row r="1389" spans="1:10" x14ac:dyDescent="0.45">
      <c r="A1389" t="s">
        <v>1921</v>
      </c>
      <c r="B1389" s="2">
        <v>45660</v>
      </c>
      <c r="C1389" t="s">
        <v>74</v>
      </c>
      <c r="D1389" t="s">
        <v>283</v>
      </c>
      <c r="E1389" t="s">
        <v>136</v>
      </c>
      <c r="F1389">
        <v>7</v>
      </c>
      <c r="G1389" s="3">
        <v>0</v>
      </c>
      <c r="H1389" t="s">
        <v>26</v>
      </c>
      <c r="I1389" t="s">
        <v>27</v>
      </c>
      <c r="J1389" t="s">
        <v>21</v>
      </c>
    </row>
    <row r="1390" spans="1:10" x14ac:dyDescent="0.45">
      <c r="A1390" t="s">
        <v>1922</v>
      </c>
      <c r="B1390" s="2">
        <v>46171</v>
      </c>
      <c r="C1390" t="s">
        <v>113</v>
      </c>
      <c r="D1390" t="s">
        <v>230</v>
      </c>
      <c r="E1390" t="s">
        <v>97</v>
      </c>
      <c r="F1390">
        <v>12</v>
      </c>
      <c r="G1390" s="3">
        <v>0.08</v>
      </c>
      <c r="H1390" t="s">
        <v>53</v>
      </c>
      <c r="I1390" t="s">
        <v>48</v>
      </c>
      <c r="J1390" t="s">
        <v>21</v>
      </c>
    </row>
    <row r="1391" spans="1:10" x14ac:dyDescent="0.45">
      <c r="A1391" t="s">
        <v>1923</v>
      </c>
      <c r="B1391" s="2">
        <v>45952</v>
      </c>
      <c r="C1391" t="s">
        <v>597</v>
      </c>
      <c r="D1391" t="s">
        <v>130</v>
      </c>
      <c r="E1391" t="s">
        <v>52</v>
      </c>
      <c r="F1391">
        <v>2</v>
      </c>
      <c r="G1391" s="3">
        <v>0.05</v>
      </c>
      <c r="H1391" t="s">
        <v>26</v>
      </c>
      <c r="I1391" t="s">
        <v>15</v>
      </c>
      <c r="J1391" t="s">
        <v>21</v>
      </c>
    </row>
    <row r="1392" spans="1:10" x14ac:dyDescent="0.45">
      <c r="A1392" t="s">
        <v>1924</v>
      </c>
      <c r="B1392" s="2">
        <v>45863</v>
      </c>
      <c r="C1392" t="s">
        <v>811</v>
      </c>
      <c r="D1392" t="s">
        <v>185</v>
      </c>
      <c r="E1392" t="s">
        <v>52</v>
      </c>
      <c r="F1392">
        <v>1</v>
      </c>
      <c r="G1392" s="3">
        <v>0.15</v>
      </c>
      <c r="H1392" t="s">
        <v>14</v>
      </c>
      <c r="I1392" t="s">
        <v>54</v>
      </c>
      <c r="J1392" t="s">
        <v>107</v>
      </c>
    </row>
    <row r="1393" spans="1:10" x14ac:dyDescent="0.45">
      <c r="A1393" t="s">
        <v>1925</v>
      </c>
      <c r="B1393" s="2">
        <v>45922</v>
      </c>
      <c r="C1393" t="s">
        <v>950</v>
      </c>
      <c r="D1393" t="s">
        <v>143</v>
      </c>
      <c r="E1393" t="s">
        <v>225</v>
      </c>
      <c r="F1393">
        <v>3</v>
      </c>
      <c r="G1393" s="3">
        <v>0.08</v>
      </c>
      <c r="H1393" t="s">
        <v>53</v>
      </c>
      <c r="I1393" t="s">
        <v>15</v>
      </c>
      <c r="J1393" t="s">
        <v>21</v>
      </c>
    </row>
    <row r="1394" spans="1:10" x14ac:dyDescent="0.45">
      <c r="A1394" t="s">
        <v>1926</v>
      </c>
      <c r="B1394" s="2">
        <v>45825</v>
      </c>
      <c r="C1394" t="s">
        <v>1373</v>
      </c>
      <c r="D1394" t="s">
        <v>249</v>
      </c>
      <c r="E1394" t="s">
        <v>111</v>
      </c>
      <c r="F1394">
        <v>6</v>
      </c>
      <c r="G1394" s="3">
        <v>0</v>
      </c>
      <c r="H1394" t="s">
        <v>53</v>
      </c>
      <c r="I1394" t="s">
        <v>27</v>
      </c>
      <c r="J1394" t="s">
        <v>21</v>
      </c>
    </row>
    <row r="1395" spans="1:10" x14ac:dyDescent="0.45">
      <c r="A1395" t="s">
        <v>1927</v>
      </c>
      <c r="B1395" s="2">
        <v>45728</v>
      </c>
      <c r="C1395" t="s">
        <v>103</v>
      </c>
      <c r="D1395" t="s">
        <v>43</v>
      </c>
      <c r="E1395" t="s">
        <v>25</v>
      </c>
      <c r="F1395">
        <v>2</v>
      </c>
      <c r="G1395" s="3">
        <v>0.03</v>
      </c>
      <c r="H1395" t="s">
        <v>53</v>
      </c>
      <c r="I1395" t="s">
        <v>48</v>
      </c>
      <c r="J1395" t="s">
        <v>107</v>
      </c>
    </row>
    <row r="1396" spans="1:10" x14ac:dyDescent="0.45">
      <c r="A1396" t="s">
        <v>1928</v>
      </c>
      <c r="B1396" s="2">
        <v>45774</v>
      </c>
      <c r="C1396" t="s">
        <v>1929</v>
      </c>
      <c r="D1396" t="s">
        <v>312</v>
      </c>
      <c r="E1396" t="s">
        <v>144</v>
      </c>
      <c r="F1396">
        <v>8</v>
      </c>
      <c r="G1396" s="3">
        <v>0.1</v>
      </c>
      <c r="H1396" t="s">
        <v>14</v>
      </c>
      <c r="I1396" t="s">
        <v>15</v>
      </c>
      <c r="J1396" t="s">
        <v>21</v>
      </c>
    </row>
    <row r="1397" spans="1:10" x14ac:dyDescent="0.45">
      <c r="A1397" t="s">
        <v>1930</v>
      </c>
      <c r="B1397" s="2">
        <v>45743</v>
      </c>
      <c r="C1397" t="s">
        <v>326</v>
      </c>
      <c r="D1397" t="s">
        <v>34</v>
      </c>
      <c r="E1397" t="s">
        <v>152</v>
      </c>
      <c r="F1397">
        <v>6</v>
      </c>
      <c r="G1397" s="3">
        <v>0</v>
      </c>
      <c r="H1397" t="s">
        <v>14</v>
      </c>
      <c r="I1397" t="s">
        <v>15</v>
      </c>
      <c r="J1397" t="s">
        <v>16</v>
      </c>
    </row>
    <row r="1398" spans="1:10" x14ac:dyDescent="0.45">
      <c r="A1398" t="s">
        <v>1931</v>
      </c>
      <c r="B1398" s="2">
        <v>45676</v>
      </c>
      <c r="C1398" t="s">
        <v>113</v>
      </c>
      <c r="D1398" t="s">
        <v>121</v>
      </c>
      <c r="E1398" t="s">
        <v>111</v>
      </c>
      <c r="F1398">
        <v>10</v>
      </c>
      <c r="G1398" s="3">
        <v>0</v>
      </c>
      <c r="H1398" t="s">
        <v>26</v>
      </c>
      <c r="I1398" t="s">
        <v>54</v>
      </c>
      <c r="J1398" t="s">
        <v>21</v>
      </c>
    </row>
    <row r="1399" spans="1:10" x14ac:dyDescent="0.45">
      <c r="A1399" t="s">
        <v>1932</v>
      </c>
      <c r="B1399" s="2">
        <v>45856</v>
      </c>
      <c r="C1399" t="s">
        <v>466</v>
      </c>
      <c r="D1399" t="s">
        <v>126</v>
      </c>
      <c r="E1399" t="s">
        <v>72</v>
      </c>
      <c r="F1399">
        <v>8</v>
      </c>
      <c r="G1399" s="3">
        <v>0.1</v>
      </c>
      <c r="H1399" t="s">
        <v>14</v>
      </c>
      <c r="I1399" t="s">
        <v>15</v>
      </c>
      <c r="J1399" t="s">
        <v>16</v>
      </c>
    </row>
    <row r="1400" spans="1:10" x14ac:dyDescent="0.45">
      <c r="A1400" t="s">
        <v>1933</v>
      </c>
      <c r="B1400" s="2">
        <v>46070</v>
      </c>
      <c r="C1400" t="s">
        <v>77</v>
      </c>
      <c r="D1400" t="s">
        <v>12</v>
      </c>
      <c r="E1400" t="s">
        <v>140</v>
      </c>
      <c r="F1400">
        <v>4</v>
      </c>
      <c r="G1400" s="3">
        <v>0.03</v>
      </c>
      <c r="H1400" t="s">
        <v>14</v>
      </c>
      <c r="I1400" t="s">
        <v>15</v>
      </c>
      <c r="J1400" t="s">
        <v>16</v>
      </c>
    </row>
    <row r="1401" spans="1:10" x14ac:dyDescent="0.45">
      <c r="A1401" t="s">
        <v>1934</v>
      </c>
      <c r="B1401" s="2">
        <v>45890</v>
      </c>
      <c r="C1401" t="s">
        <v>611</v>
      </c>
      <c r="D1401" t="s">
        <v>1935</v>
      </c>
      <c r="E1401" t="s">
        <v>111</v>
      </c>
      <c r="F1401">
        <v>11</v>
      </c>
      <c r="G1401" s="3">
        <v>0.2</v>
      </c>
      <c r="H1401" t="s">
        <v>14</v>
      </c>
      <c r="I1401" t="s">
        <v>15</v>
      </c>
      <c r="J1401" t="s">
        <v>21</v>
      </c>
    </row>
    <row r="1402" spans="1:10" x14ac:dyDescent="0.45">
      <c r="A1402" t="s">
        <v>1936</v>
      </c>
      <c r="B1402" s="2">
        <v>45700</v>
      </c>
      <c r="C1402" t="s">
        <v>1471</v>
      </c>
      <c r="D1402" t="s">
        <v>139</v>
      </c>
      <c r="E1402" t="s">
        <v>115</v>
      </c>
      <c r="F1402">
        <v>1</v>
      </c>
      <c r="G1402" s="3">
        <v>0.2</v>
      </c>
      <c r="H1402" t="s">
        <v>14</v>
      </c>
      <c r="I1402" t="s">
        <v>27</v>
      </c>
      <c r="J1402" t="s">
        <v>21</v>
      </c>
    </row>
    <row r="1403" spans="1:10" x14ac:dyDescent="0.45">
      <c r="A1403" t="s">
        <v>1937</v>
      </c>
      <c r="B1403" s="2">
        <v>46004</v>
      </c>
      <c r="C1403" t="s">
        <v>1019</v>
      </c>
      <c r="D1403" t="s">
        <v>139</v>
      </c>
      <c r="E1403" t="s">
        <v>25</v>
      </c>
      <c r="F1403">
        <v>7</v>
      </c>
      <c r="G1403" s="3">
        <v>0</v>
      </c>
      <c r="H1403" t="s">
        <v>26</v>
      </c>
      <c r="I1403" t="s">
        <v>15</v>
      </c>
      <c r="J1403" t="s">
        <v>21</v>
      </c>
    </row>
    <row r="1404" spans="1:10" x14ac:dyDescent="0.45">
      <c r="A1404" t="s">
        <v>1938</v>
      </c>
      <c r="B1404" s="2">
        <v>45777</v>
      </c>
      <c r="C1404" t="s">
        <v>1486</v>
      </c>
      <c r="D1404" t="s">
        <v>81</v>
      </c>
      <c r="E1404" t="s">
        <v>140</v>
      </c>
      <c r="F1404">
        <v>10</v>
      </c>
      <c r="G1404" s="3">
        <v>0.03</v>
      </c>
      <c r="H1404" t="s">
        <v>14</v>
      </c>
      <c r="I1404" t="s">
        <v>27</v>
      </c>
      <c r="J1404" t="s">
        <v>21</v>
      </c>
    </row>
    <row r="1405" spans="1:10" x14ac:dyDescent="0.45">
      <c r="A1405" t="s">
        <v>1939</v>
      </c>
      <c r="B1405" s="2">
        <v>45982</v>
      </c>
      <c r="C1405" t="s">
        <v>390</v>
      </c>
      <c r="D1405" t="s">
        <v>51</v>
      </c>
      <c r="E1405" t="s">
        <v>25</v>
      </c>
      <c r="F1405">
        <v>4</v>
      </c>
      <c r="G1405" s="3">
        <v>0.08</v>
      </c>
      <c r="H1405" t="s">
        <v>14</v>
      </c>
      <c r="I1405" t="s">
        <v>15</v>
      </c>
      <c r="J1405" t="s">
        <v>21</v>
      </c>
    </row>
    <row r="1406" spans="1:10" x14ac:dyDescent="0.45">
      <c r="A1406" t="s">
        <v>1940</v>
      </c>
      <c r="B1406" s="2">
        <v>45798</v>
      </c>
      <c r="C1406" t="s">
        <v>245</v>
      </c>
      <c r="D1406" t="s">
        <v>221</v>
      </c>
      <c r="E1406" t="s">
        <v>101</v>
      </c>
      <c r="F1406">
        <v>12</v>
      </c>
      <c r="G1406" s="3">
        <v>0.08</v>
      </c>
      <c r="H1406" t="s">
        <v>53</v>
      </c>
      <c r="I1406" t="s">
        <v>54</v>
      </c>
      <c r="J1406" t="s">
        <v>21</v>
      </c>
    </row>
    <row r="1407" spans="1:10" x14ac:dyDescent="0.45">
      <c r="A1407" t="s">
        <v>1941</v>
      </c>
      <c r="B1407" s="2">
        <v>46030</v>
      </c>
      <c r="C1407" t="s">
        <v>216</v>
      </c>
      <c r="D1407" t="s">
        <v>39</v>
      </c>
      <c r="E1407" t="s">
        <v>140</v>
      </c>
      <c r="F1407">
        <v>2</v>
      </c>
      <c r="G1407" s="3">
        <v>0.2</v>
      </c>
      <c r="H1407" t="s">
        <v>14</v>
      </c>
      <c r="I1407" t="s">
        <v>27</v>
      </c>
      <c r="J1407" t="s">
        <v>21</v>
      </c>
    </row>
    <row r="1408" spans="1:10" x14ac:dyDescent="0.45">
      <c r="A1408" t="s">
        <v>1942</v>
      </c>
      <c r="B1408" s="2">
        <v>45847</v>
      </c>
      <c r="C1408" t="s">
        <v>317</v>
      </c>
      <c r="D1408" t="s">
        <v>106</v>
      </c>
      <c r="E1408" t="s">
        <v>281</v>
      </c>
      <c r="F1408">
        <v>12</v>
      </c>
      <c r="G1408" s="3">
        <v>0</v>
      </c>
      <c r="H1408" t="s">
        <v>53</v>
      </c>
      <c r="I1408" t="s">
        <v>48</v>
      </c>
      <c r="J1408" t="s">
        <v>21</v>
      </c>
    </row>
    <row r="1409" spans="1:10" x14ac:dyDescent="0.45">
      <c r="A1409" t="s">
        <v>1943</v>
      </c>
      <c r="B1409" s="2">
        <v>45999</v>
      </c>
      <c r="C1409" t="s">
        <v>991</v>
      </c>
      <c r="D1409" t="s">
        <v>24</v>
      </c>
      <c r="E1409" t="s">
        <v>40</v>
      </c>
      <c r="F1409">
        <v>6</v>
      </c>
      <c r="G1409" s="3">
        <v>0</v>
      </c>
      <c r="H1409" t="s">
        <v>14</v>
      </c>
      <c r="I1409" t="s">
        <v>54</v>
      </c>
      <c r="J1409" t="s">
        <v>21</v>
      </c>
    </row>
    <row r="1410" spans="1:10" x14ac:dyDescent="0.45">
      <c r="A1410" t="s">
        <v>1944</v>
      </c>
      <c r="B1410" s="2">
        <v>45941</v>
      </c>
      <c r="C1410" t="s">
        <v>258</v>
      </c>
      <c r="D1410" t="s">
        <v>151</v>
      </c>
      <c r="E1410" t="s">
        <v>35</v>
      </c>
      <c r="F1410">
        <v>5</v>
      </c>
      <c r="G1410" s="3">
        <v>0</v>
      </c>
      <c r="H1410" t="s">
        <v>53</v>
      </c>
      <c r="I1410" t="s">
        <v>27</v>
      </c>
      <c r="J1410" t="s">
        <v>36</v>
      </c>
    </row>
    <row r="1411" spans="1:10" x14ac:dyDescent="0.45">
      <c r="A1411" t="s">
        <v>1945</v>
      </c>
      <c r="B1411" s="2">
        <v>46071</v>
      </c>
      <c r="C1411" t="s">
        <v>80</v>
      </c>
      <c r="D1411" t="s">
        <v>391</v>
      </c>
      <c r="E1411" t="s">
        <v>31</v>
      </c>
      <c r="F1411">
        <v>1</v>
      </c>
      <c r="G1411" s="3">
        <v>0.08</v>
      </c>
      <c r="H1411" t="s">
        <v>26</v>
      </c>
      <c r="I1411" t="s">
        <v>15</v>
      </c>
      <c r="J1411" t="s">
        <v>21</v>
      </c>
    </row>
    <row r="1412" spans="1:10" x14ac:dyDescent="0.45">
      <c r="A1412" t="s">
        <v>1946</v>
      </c>
      <c r="B1412" s="2">
        <v>45711</v>
      </c>
      <c r="C1412" t="s">
        <v>925</v>
      </c>
      <c r="D1412" t="s">
        <v>312</v>
      </c>
      <c r="E1412" t="s">
        <v>111</v>
      </c>
      <c r="F1412">
        <v>3</v>
      </c>
      <c r="G1412" s="3">
        <v>0</v>
      </c>
      <c r="H1412" t="s">
        <v>14</v>
      </c>
      <c r="I1412" t="s">
        <v>48</v>
      </c>
      <c r="J1412" t="s">
        <v>21</v>
      </c>
    </row>
    <row r="1413" spans="1:10" x14ac:dyDescent="0.45">
      <c r="A1413" t="s">
        <v>1947</v>
      </c>
      <c r="B1413" s="2">
        <v>46027</v>
      </c>
      <c r="C1413" t="s">
        <v>1655</v>
      </c>
      <c r="D1413" t="s">
        <v>348</v>
      </c>
      <c r="E1413" t="s">
        <v>47</v>
      </c>
      <c r="F1413">
        <v>7</v>
      </c>
      <c r="G1413" s="3">
        <v>0</v>
      </c>
      <c r="H1413" t="s">
        <v>14</v>
      </c>
      <c r="I1413" t="s">
        <v>54</v>
      </c>
      <c r="J1413" t="s">
        <v>21</v>
      </c>
    </row>
    <row r="1414" spans="1:10" x14ac:dyDescent="0.45">
      <c r="A1414" t="s">
        <v>1948</v>
      </c>
      <c r="B1414" s="2">
        <v>45764</v>
      </c>
      <c r="C1414" t="s">
        <v>1862</v>
      </c>
      <c r="D1414" t="s">
        <v>439</v>
      </c>
      <c r="E1414" t="s">
        <v>25</v>
      </c>
      <c r="F1414">
        <v>11</v>
      </c>
      <c r="G1414" s="3">
        <v>0</v>
      </c>
      <c r="H1414" t="s">
        <v>14</v>
      </c>
      <c r="I1414" t="s">
        <v>54</v>
      </c>
      <c r="J1414" t="s">
        <v>21</v>
      </c>
    </row>
    <row r="1415" spans="1:10" x14ac:dyDescent="0.45">
      <c r="A1415" t="s">
        <v>1949</v>
      </c>
      <c r="B1415" s="2">
        <v>46075</v>
      </c>
      <c r="C1415" t="s">
        <v>134</v>
      </c>
      <c r="D1415" t="s">
        <v>118</v>
      </c>
      <c r="E1415" t="s">
        <v>218</v>
      </c>
      <c r="F1415">
        <v>1</v>
      </c>
      <c r="G1415" s="3">
        <v>0.08</v>
      </c>
      <c r="H1415" t="s">
        <v>14</v>
      </c>
      <c r="I1415" t="s">
        <v>54</v>
      </c>
      <c r="J1415" t="s">
        <v>21</v>
      </c>
    </row>
    <row r="1416" spans="1:10" x14ac:dyDescent="0.45">
      <c r="A1416" t="s">
        <v>1950</v>
      </c>
      <c r="B1416" s="2">
        <v>45874</v>
      </c>
      <c r="C1416" t="s">
        <v>488</v>
      </c>
      <c r="D1416" t="s">
        <v>221</v>
      </c>
      <c r="E1416" t="s">
        <v>13</v>
      </c>
      <c r="F1416">
        <v>10</v>
      </c>
      <c r="G1416" s="3">
        <v>0.15</v>
      </c>
      <c r="H1416" t="s">
        <v>14</v>
      </c>
      <c r="I1416" t="s">
        <v>27</v>
      </c>
      <c r="J1416" t="s">
        <v>21</v>
      </c>
    </row>
    <row r="1417" spans="1:10" x14ac:dyDescent="0.45">
      <c r="A1417" t="s">
        <v>1951</v>
      </c>
      <c r="B1417" s="2">
        <v>45952</v>
      </c>
      <c r="C1417" t="s">
        <v>516</v>
      </c>
      <c r="D1417" t="s">
        <v>191</v>
      </c>
      <c r="E1417" t="s">
        <v>13</v>
      </c>
      <c r="F1417">
        <v>5</v>
      </c>
      <c r="G1417" s="3">
        <v>0.05</v>
      </c>
      <c r="H1417" t="s">
        <v>53</v>
      </c>
      <c r="I1417" t="s">
        <v>48</v>
      </c>
      <c r="J1417" t="s">
        <v>59</v>
      </c>
    </row>
    <row r="1418" spans="1:10" x14ac:dyDescent="0.45">
      <c r="A1418" t="s">
        <v>1952</v>
      </c>
      <c r="B1418" s="2">
        <v>45659</v>
      </c>
      <c r="C1418" t="s">
        <v>1091</v>
      </c>
      <c r="D1418" t="s">
        <v>114</v>
      </c>
      <c r="E1418" t="s">
        <v>47</v>
      </c>
      <c r="F1418">
        <v>2</v>
      </c>
      <c r="G1418" s="3">
        <v>0.15</v>
      </c>
      <c r="H1418" t="s">
        <v>14</v>
      </c>
      <c r="I1418" t="s">
        <v>27</v>
      </c>
      <c r="J1418" t="s">
        <v>59</v>
      </c>
    </row>
    <row r="1419" spans="1:10" x14ac:dyDescent="0.45">
      <c r="A1419" t="s">
        <v>1953</v>
      </c>
      <c r="B1419" s="2">
        <v>45780</v>
      </c>
      <c r="C1419" t="s">
        <v>526</v>
      </c>
      <c r="D1419" t="s">
        <v>439</v>
      </c>
      <c r="E1419" t="s">
        <v>25</v>
      </c>
      <c r="F1419">
        <v>11</v>
      </c>
      <c r="G1419" s="3">
        <v>0.05</v>
      </c>
      <c r="H1419" t="s">
        <v>14</v>
      </c>
      <c r="I1419" t="s">
        <v>48</v>
      </c>
      <c r="J1419" t="s">
        <v>21</v>
      </c>
    </row>
    <row r="1420" spans="1:10" x14ac:dyDescent="0.45">
      <c r="A1420" t="s">
        <v>1954</v>
      </c>
      <c r="B1420" s="2">
        <v>45731</v>
      </c>
      <c r="C1420" t="s">
        <v>1348</v>
      </c>
      <c r="D1420" t="s">
        <v>348</v>
      </c>
      <c r="E1420" t="s">
        <v>111</v>
      </c>
      <c r="F1420">
        <v>11</v>
      </c>
      <c r="G1420" s="3">
        <v>0.15</v>
      </c>
      <c r="H1420" t="s">
        <v>14</v>
      </c>
      <c r="I1420" t="s">
        <v>54</v>
      </c>
      <c r="J1420" t="s">
        <v>21</v>
      </c>
    </row>
    <row r="1421" spans="1:10" x14ac:dyDescent="0.45">
      <c r="A1421" t="s">
        <v>1955</v>
      </c>
      <c r="B1421" s="2">
        <v>45873</v>
      </c>
      <c r="C1421" t="s">
        <v>553</v>
      </c>
      <c r="D1421" t="s">
        <v>94</v>
      </c>
      <c r="E1421" t="s">
        <v>97</v>
      </c>
      <c r="F1421">
        <v>12</v>
      </c>
      <c r="G1421" s="3">
        <v>0</v>
      </c>
      <c r="H1421" t="s">
        <v>53</v>
      </c>
      <c r="I1421" t="s">
        <v>48</v>
      </c>
      <c r="J1421" t="s">
        <v>21</v>
      </c>
    </row>
    <row r="1422" spans="1:10" x14ac:dyDescent="0.45">
      <c r="A1422" t="s">
        <v>1956</v>
      </c>
      <c r="B1422" s="2">
        <v>45805</v>
      </c>
      <c r="C1422" t="s">
        <v>940</v>
      </c>
      <c r="D1422" t="s">
        <v>249</v>
      </c>
      <c r="E1422" t="s">
        <v>85</v>
      </c>
      <c r="F1422">
        <v>3</v>
      </c>
      <c r="G1422" s="3">
        <v>0</v>
      </c>
      <c r="H1422" t="s">
        <v>53</v>
      </c>
      <c r="I1422" t="s">
        <v>27</v>
      </c>
      <c r="J1422" t="s">
        <v>107</v>
      </c>
    </row>
    <row r="1423" spans="1:10" x14ac:dyDescent="0.45">
      <c r="A1423" t="s">
        <v>1957</v>
      </c>
      <c r="B1423" s="2">
        <v>45939</v>
      </c>
      <c r="C1423" t="s">
        <v>1293</v>
      </c>
      <c r="D1423" t="s">
        <v>126</v>
      </c>
      <c r="E1423" t="s">
        <v>20</v>
      </c>
      <c r="F1423">
        <v>8</v>
      </c>
      <c r="G1423" s="3">
        <v>0.05</v>
      </c>
      <c r="H1423" t="s">
        <v>53</v>
      </c>
      <c r="I1423" t="s">
        <v>54</v>
      </c>
      <c r="J1423" t="s">
        <v>21</v>
      </c>
    </row>
    <row r="1424" spans="1:10" x14ac:dyDescent="0.45">
      <c r="A1424" t="s">
        <v>1958</v>
      </c>
      <c r="B1424" s="2">
        <v>45906</v>
      </c>
      <c r="C1424" t="s">
        <v>734</v>
      </c>
      <c r="D1424" t="s">
        <v>71</v>
      </c>
      <c r="E1424" t="s">
        <v>20</v>
      </c>
      <c r="F1424">
        <v>8</v>
      </c>
      <c r="G1424" s="3">
        <v>0.2</v>
      </c>
      <c r="H1424" t="s">
        <v>26</v>
      </c>
      <c r="I1424" t="s">
        <v>15</v>
      </c>
      <c r="J1424" t="s">
        <v>21</v>
      </c>
    </row>
    <row r="1425" spans="1:10" x14ac:dyDescent="0.45">
      <c r="A1425" t="s">
        <v>1959</v>
      </c>
      <c r="B1425" s="2">
        <v>45820</v>
      </c>
      <c r="C1425" t="s">
        <v>578</v>
      </c>
      <c r="D1425" t="s">
        <v>235</v>
      </c>
      <c r="E1425" t="s">
        <v>85</v>
      </c>
      <c r="F1425">
        <v>1</v>
      </c>
      <c r="G1425" s="3">
        <v>0</v>
      </c>
      <c r="H1425" t="s">
        <v>53</v>
      </c>
      <c r="I1425" t="s">
        <v>27</v>
      </c>
      <c r="J1425" t="s">
        <v>21</v>
      </c>
    </row>
    <row r="1426" spans="1:10" x14ac:dyDescent="0.45">
      <c r="A1426" t="s">
        <v>1960</v>
      </c>
      <c r="B1426" s="2">
        <v>45948</v>
      </c>
      <c r="C1426" t="s">
        <v>710</v>
      </c>
      <c r="D1426" t="s">
        <v>106</v>
      </c>
      <c r="E1426" t="s">
        <v>225</v>
      </c>
      <c r="F1426">
        <v>5</v>
      </c>
      <c r="G1426" s="3">
        <v>0.03</v>
      </c>
      <c r="H1426" t="s">
        <v>14</v>
      </c>
      <c r="I1426" t="s">
        <v>48</v>
      </c>
      <c r="J1426" t="s">
        <v>21</v>
      </c>
    </row>
    <row r="1427" spans="1:10" x14ac:dyDescent="0.45">
      <c r="A1427" t="s">
        <v>1961</v>
      </c>
      <c r="B1427" s="2">
        <v>46123</v>
      </c>
      <c r="C1427" t="s">
        <v>698</v>
      </c>
      <c r="D1427" t="s">
        <v>404</v>
      </c>
      <c r="E1427" t="s">
        <v>127</v>
      </c>
      <c r="F1427">
        <v>6</v>
      </c>
      <c r="G1427" s="3">
        <v>0.08</v>
      </c>
      <c r="H1427" t="s">
        <v>53</v>
      </c>
      <c r="I1427" t="s">
        <v>15</v>
      </c>
      <c r="J1427" t="s">
        <v>21</v>
      </c>
    </row>
    <row r="1428" spans="1:10" x14ac:dyDescent="0.45">
      <c r="A1428" t="s">
        <v>1962</v>
      </c>
      <c r="B1428" s="2">
        <v>45934</v>
      </c>
      <c r="C1428" t="s">
        <v>645</v>
      </c>
      <c r="D1428" t="s">
        <v>238</v>
      </c>
      <c r="E1428" t="s">
        <v>136</v>
      </c>
      <c r="F1428">
        <v>3</v>
      </c>
      <c r="G1428" s="3">
        <v>0.2</v>
      </c>
      <c r="H1428" t="s">
        <v>14</v>
      </c>
      <c r="I1428" t="s">
        <v>54</v>
      </c>
      <c r="J1428" t="s">
        <v>21</v>
      </c>
    </row>
    <row r="1429" spans="1:10" x14ac:dyDescent="0.45">
      <c r="A1429" t="s">
        <v>1963</v>
      </c>
      <c r="B1429" s="2">
        <v>45882</v>
      </c>
      <c r="C1429" t="s">
        <v>870</v>
      </c>
      <c r="D1429" t="s">
        <v>210</v>
      </c>
      <c r="E1429" t="s">
        <v>136</v>
      </c>
      <c r="F1429">
        <v>9</v>
      </c>
      <c r="G1429" s="3">
        <v>0.03</v>
      </c>
      <c r="H1429" t="s">
        <v>14</v>
      </c>
      <c r="I1429" t="s">
        <v>27</v>
      </c>
      <c r="J1429" t="s">
        <v>21</v>
      </c>
    </row>
    <row r="1430" spans="1:10" x14ac:dyDescent="0.45">
      <c r="A1430" t="s">
        <v>1964</v>
      </c>
      <c r="B1430" s="2">
        <v>46186</v>
      </c>
      <c r="C1430" t="s">
        <v>303</v>
      </c>
      <c r="D1430" t="s">
        <v>143</v>
      </c>
      <c r="E1430" t="s">
        <v>152</v>
      </c>
      <c r="F1430">
        <v>5</v>
      </c>
      <c r="G1430" s="3">
        <v>0.15</v>
      </c>
      <c r="H1430" t="s">
        <v>14</v>
      </c>
      <c r="I1430" t="s">
        <v>48</v>
      </c>
      <c r="J1430" t="s">
        <v>21</v>
      </c>
    </row>
    <row r="1431" spans="1:10" x14ac:dyDescent="0.45">
      <c r="A1431" t="s">
        <v>1965</v>
      </c>
      <c r="B1431" s="2">
        <v>46200</v>
      </c>
      <c r="C1431" t="s">
        <v>815</v>
      </c>
      <c r="D1431" t="s">
        <v>121</v>
      </c>
      <c r="E1431" t="s">
        <v>218</v>
      </c>
      <c r="F1431">
        <v>3</v>
      </c>
      <c r="G1431" s="3">
        <v>0.2</v>
      </c>
      <c r="H1431" t="s">
        <v>26</v>
      </c>
      <c r="I1431" t="s">
        <v>48</v>
      </c>
      <c r="J1431" t="s">
        <v>21</v>
      </c>
    </row>
    <row r="1432" spans="1:10" x14ac:dyDescent="0.45">
      <c r="A1432" t="s">
        <v>1966</v>
      </c>
      <c r="B1432" s="2">
        <v>46087</v>
      </c>
      <c r="C1432" t="s">
        <v>950</v>
      </c>
      <c r="D1432" t="s">
        <v>135</v>
      </c>
      <c r="E1432" t="s">
        <v>40</v>
      </c>
      <c r="F1432">
        <v>10</v>
      </c>
      <c r="G1432" s="3">
        <v>0.1</v>
      </c>
      <c r="H1432" t="s">
        <v>14</v>
      </c>
      <c r="I1432" t="s">
        <v>54</v>
      </c>
      <c r="J1432" t="s">
        <v>21</v>
      </c>
    </row>
    <row r="1433" spans="1:10" x14ac:dyDescent="0.45">
      <c r="A1433" t="s">
        <v>1967</v>
      </c>
      <c r="B1433" s="2">
        <v>46093</v>
      </c>
      <c r="C1433" t="s">
        <v>373</v>
      </c>
      <c r="D1433" t="s">
        <v>320</v>
      </c>
      <c r="E1433" t="s">
        <v>111</v>
      </c>
      <c r="F1433">
        <v>5</v>
      </c>
      <c r="G1433" s="3">
        <v>0.08</v>
      </c>
      <c r="H1433" t="s">
        <v>14</v>
      </c>
      <c r="I1433" t="s">
        <v>15</v>
      </c>
      <c r="J1433" t="s">
        <v>21</v>
      </c>
    </row>
    <row r="1434" spans="1:10" x14ac:dyDescent="0.45">
      <c r="A1434" t="s">
        <v>1968</v>
      </c>
      <c r="B1434" s="2">
        <v>46023</v>
      </c>
      <c r="C1434" t="s">
        <v>396</v>
      </c>
      <c r="D1434" t="s">
        <v>196</v>
      </c>
      <c r="E1434" t="s">
        <v>197</v>
      </c>
      <c r="F1434">
        <v>2</v>
      </c>
      <c r="G1434" s="3">
        <v>0.15</v>
      </c>
      <c r="H1434" t="s">
        <v>14</v>
      </c>
      <c r="I1434" t="s">
        <v>54</v>
      </c>
      <c r="J1434" t="s">
        <v>36</v>
      </c>
    </row>
    <row r="1435" spans="1:10" x14ac:dyDescent="0.45">
      <c r="A1435" t="s">
        <v>1969</v>
      </c>
      <c r="B1435" s="2">
        <v>46023</v>
      </c>
      <c r="C1435" t="s">
        <v>1568</v>
      </c>
      <c r="D1435" t="s">
        <v>348</v>
      </c>
      <c r="E1435" t="s">
        <v>281</v>
      </c>
      <c r="F1435">
        <v>8</v>
      </c>
      <c r="G1435" s="3">
        <v>0.05</v>
      </c>
      <c r="H1435" t="s">
        <v>14</v>
      </c>
      <c r="I1435" t="s">
        <v>15</v>
      </c>
      <c r="J1435" t="s">
        <v>21</v>
      </c>
    </row>
    <row r="1436" spans="1:10" x14ac:dyDescent="0.45">
      <c r="A1436" t="s">
        <v>1970</v>
      </c>
      <c r="B1436" s="2">
        <v>45736</v>
      </c>
      <c r="C1436" t="s">
        <v>1445</v>
      </c>
      <c r="D1436" t="s">
        <v>217</v>
      </c>
      <c r="E1436" t="s">
        <v>72</v>
      </c>
      <c r="F1436">
        <v>2</v>
      </c>
      <c r="G1436" s="3">
        <v>0.03</v>
      </c>
      <c r="H1436" t="s">
        <v>14</v>
      </c>
      <c r="I1436" t="s">
        <v>48</v>
      </c>
      <c r="J1436" t="s">
        <v>21</v>
      </c>
    </row>
    <row r="1437" spans="1:10" x14ac:dyDescent="0.45">
      <c r="A1437" t="s">
        <v>1971</v>
      </c>
      <c r="B1437" s="2">
        <v>45732</v>
      </c>
      <c r="C1437" t="s">
        <v>50</v>
      </c>
      <c r="D1437" t="s">
        <v>272</v>
      </c>
      <c r="E1437" t="s">
        <v>111</v>
      </c>
      <c r="F1437">
        <v>2</v>
      </c>
      <c r="G1437" s="3">
        <v>0.2</v>
      </c>
      <c r="H1437" t="s">
        <v>53</v>
      </c>
      <c r="I1437" t="s">
        <v>54</v>
      </c>
      <c r="J1437" t="s">
        <v>59</v>
      </c>
    </row>
    <row r="1438" spans="1:10" x14ac:dyDescent="0.45">
      <c r="A1438" t="s">
        <v>1972</v>
      </c>
      <c r="B1438" s="2">
        <v>45695</v>
      </c>
      <c r="C1438" t="s">
        <v>1590</v>
      </c>
      <c r="D1438" t="s">
        <v>139</v>
      </c>
      <c r="E1438" t="s">
        <v>31</v>
      </c>
      <c r="F1438">
        <v>5</v>
      </c>
      <c r="G1438" s="3">
        <v>0</v>
      </c>
      <c r="H1438" t="s">
        <v>26</v>
      </c>
      <c r="I1438" t="s">
        <v>15</v>
      </c>
      <c r="J1438" t="s">
        <v>21</v>
      </c>
    </row>
    <row r="1439" spans="1:10" x14ac:dyDescent="0.45">
      <c r="A1439" t="s">
        <v>1973</v>
      </c>
      <c r="B1439" s="2">
        <v>45872</v>
      </c>
      <c r="C1439" t="s">
        <v>1151</v>
      </c>
      <c r="D1439" t="s">
        <v>191</v>
      </c>
      <c r="E1439" t="s">
        <v>85</v>
      </c>
      <c r="F1439">
        <v>2</v>
      </c>
      <c r="G1439" s="3">
        <v>0.1</v>
      </c>
      <c r="H1439" t="s">
        <v>26</v>
      </c>
      <c r="I1439" t="s">
        <v>48</v>
      </c>
      <c r="J1439" t="s">
        <v>21</v>
      </c>
    </row>
    <row r="1440" spans="1:10" x14ac:dyDescent="0.45">
      <c r="A1440" t="s">
        <v>1974</v>
      </c>
      <c r="B1440" s="2">
        <v>45904</v>
      </c>
      <c r="C1440" t="s">
        <v>997</v>
      </c>
      <c r="D1440" t="s">
        <v>81</v>
      </c>
      <c r="E1440" t="s">
        <v>52</v>
      </c>
      <c r="F1440">
        <v>1</v>
      </c>
      <c r="G1440" s="3">
        <v>0.2</v>
      </c>
      <c r="H1440" t="s">
        <v>53</v>
      </c>
      <c r="I1440" t="s">
        <v>54</v>
      </c>
      <c r="J1440" t="s">
        <v>21</v>
      </c>
    </row>
    <row r="1441" spans="1:10" x14ac:dyDescent="0.45">
      <c r="A1441" t="s">
        <v>1975</v>
      </c>
      <c r="B1441" s="2">
        <v>45879</v>
      </c>
      <c r="C1441" t="s">
        <v>1179</v>
      </c>
      <c r="D1441" t="s">
        <v>256</v>
      </c>
      <c r="E1441" t="s">
        <v>47</v>
      </c>
      <c r="F1441">
        <v>7</v>
      </c>
      <c r="G1441" s="3">
        <v>0.1</v>
      </c>
      <c r="H1441" t="s">
        <v>14</v>
      </c>
      <c r="I1441" t="s">
        <v>54</v>
      </c>
      <c r="J1441" t="s">
        <v>36</v>
      </c>
    </row>
    <row r="1442" spans="1:10" x14ac:dyDescent="0.45">
      <c r="A1442" t="s">
        <v>1976</v>
      </c>
      <c r="B1442" s="2">
        <v>46015</v>
      </c>
      <c r="C1442" t="s">
        <v>1253</v>
      </c>
      <c r="D1442" t="s">
        <v>256</v>
      </c>
      <c r="E1442" t="s">
        <v>13</v>
      </c>
      <c r="F1442">
        <v>6</v>
      </c>
      <c r="G1442" s="3">
        <v>0.2</v>
      </c>
      <c r="H1442" t="s">
        <v>14</v>
      </c>
      <c r="I1442" t="s">
        <v>54</v>
      </c>
      <c r="J1442" t="s">
        <v>21</v>
      </c>
    </row>
    <row r="1443" spans="1:10" x14ac:dyDescent="0.45">
      <c r="A1443" t="s">
        <v>1977</v>
      </c>
      <c r="B1443" s="2">
        <v>45939</v>
      </c>
      <c r="C1443" t="s">
        <v>1486</v>
      </c>
      <c r="D1443" t="s">
        <v>94</v>
      </c>
      <c r="E1443" t="s">
        <v>97</v>
      </c>
      <c r="F1443">
        <v>4</v>
      </c>
      <c r="G1443" s="3">
        <v>0.03</v>
      </c>
      <c r="H1443" t="s">
        <v>53</v>
      </c>
      <c r="I1443" t="s">
        <v>54</v>
      </c>
      <c r="J1443" t="s">
        <v>59</v>
      </c>
    </row>
    <row r="1444" spans="1:10" x14ac:dyDescent="0.45">
      <c r="A1444" t="s">
        <v>1978</v>
      </c>
      <c r="B1444" s="2">
        <v>45872</v>
      </c>
      <c r="C1444" t="s">
        <v>373</v>
      </c>
      <c r="D1444" t="s">
        <v>185</v>
      </c>
      <c r="E1444" t="s">
        <v>115</v>
      </c>
      <c r="F1444">
        <v>4</v>
      </c>
      <c r="G1444" s="3">
        <v>0.03</v>
      </c>
      <c r="H1444" t="s">
        <v>14</v>
      </c>
      <c r="I1444" t="s">
        <v>48</v>
      </c>
      <c r="J1444" t="s">
        <v>21</v>
      </c>
    </row>
    <row r="1445" spans="1:10" x14ac:dyDescent="0.45">
      <c r="A1445" t="s">
        <v>1979</v>
      </c>
      <c r="B1445" s="2">
        <v>45690</v>
      </c>
      <c r="C1445" t="s">
        <v>1980</v>
      </c>
      <c r="D1445" t="s">
        <v>30</v>
      </c>
      <c r="E1445" t="s">
        <v>225</v>
      </c>
      <c r="F1445">
        <v>2</v>
      </c>
      <c r="G1445" s="3">
        <v>0.05</v>
      </c>
      <c r="H1445" t="s">
        <v>14</v>
      </c>
      <c r="I1445" t="s">
        <v>27</v>
      </c>
      <c r="J1445" t="s">
        <v>16</v>
      </c>
    </row>
    <row r="1446" spans="1:10" x14ac:dyDescent="0.45">
      <c r="A1446" t="s">
        <v>1981</v>
      </c>
      <c r="B1446" s="2">
        <v>45722</v>
      </c>
      <c r="C1446" t="s">
        <v>77</v>
      </c>
      <c r="D1446" t="s">
        <v>246</v>
      </c>
      <c r="E1446" t="s">
        <v>72</v>
      </c>
      <c r="F1446">
        <v>3</v>
      </c>
      <c r="G1446" s="3">
        <v>0.2</v>
      </c>
      <c r="H1446" t="s">
        <v>14</v>
      </c>
      <c r="I1446" t="s">
        <v>54</v>
      </c>
      <c r="J1446" t="s">
        <v>21</v>
      </c>
    </row>
    <row r="1447" spans="1:10" x14ac:dyDescent="0.45">
      <c r="A1447" t="s">
        <v>1982</v>
      </c>
      <c r="B1447" s="2">
        <v>46088</v>
      </c>
      <c r="C1447" t="s">
        <v>232</v>
      </c>
      <c r="D1447" t="s">
        <v>185</v>
      </c>
      <c r="E1447" t="s">
        <v>20</v>
      </c>
      <c r="F1447">
        <v>2</v>
      </c>
      <c r="G1447" s="3">
        <v>0</v>
      </c>
      <c r="H1447" t="s">
        <v>53</v>
      </c>
      <c r="I1447" t="s">
        <v>54</v>
      </c>
      <c r="J1447" t="s">
        <v>21</v>
      </c>
    </row>
    <row r="1448" spans="1:10" x14ac:dyDescent="0.45">
      <c r="A1448" t="s">
        <v>1983</v>
      </c>
      <c r="B1448" s="2">
        <v>45892</v>
      </c>
      <c r="C1448" t="s">
        <v>214</v>
      </c>
      <c r="D1448" t="s">
        <v>12</v>
      </c>
      <c r="E1448" t="s">
        <v>13</v>
      </c>
      <c r="F1448">
        <v>12</v>
      </c>
      <c r="G1448" s="3">
        <v>0.03</v>
      </c>
      <c r="H1448" t="s">
        <v>14</v>
      </c>
      <c r="I1448" t="s">
        <v>27</v>
      </c>
      <c r="J1448" t="s">
        <v>36</v>
      </c>
    </row>
    <row r="1449" spans="1:10" x14ac:dyDescent="0.45">
      <c r="A1449" t="s">
        <v>1984</v>
      </c>
      <c r="B1449" s="2">
        <v>45878</v>
      </c>
      <c r="C1449" t="s">
        <v>732</v>
      </c>
      <c r="D1449" t="s">
        <v>81</v>
      </c>
      <c r="E1449" t="s">
        <v>52</v>
      </c>
      <c r="F1449">
        <v>8</v>
      </c>
      <c r="G1449" s="3">
        <v>0.15</v>
      </c>
      <c r="H1449" t="s">
        <v>14</v>
      </c>
      <c r="I1449" t="s">
        <v>15</v>
      </c>
      <c r="J1449" t="s">
        <v>21</v>
      </c>
    </row>
    <row r="1450" spans="1:10" x14ac:dyDescent="0.45">
      <c r="A1450" t="s">
        <v>1985</v>
      </c>
      <c r="B1450" s="2">
        <v>45678</v>
      </c>
      <c r="C1450" t="s">
        <v>1412</v>
      </c>
      <c r="D1450" t="s">
        <v>114</v>
      </c>
      <c r="E1450" t="s">
        <v>115</v>
      </c>
      <c r="F1450">
        <v>4</v>
      </c>
      <c r="G1450" s="3">
        <v>0.15</v>
      </c>
      <c r="H1450" t="s">
        <v>14</v>
      </c>
      <c r="I1450" t="s">
        <v>15</v>
      </c>
      <c r="J1450" t="s">
        <v>36</v>
      </c>
    </row>
    <row r="1451" spans="1:10" x14ac:dyDescent="0.45">
      <c r="A1451" t="s">
        <v>1986</v>
      </c>
      <c r="B1451" s="2">
        <v>45787</v>
      </c>
      <c r="C1451" t="s">
        <v>597</v>
      </c>
      <c r="D1451" t="s">
        <v>646</v>
      </c>
      <c r="E1451" t="s">
        <v>72</v>
      </c>
      <c r="F1451">
        <v>1</v>
      </c>
      <c r="G1451" s="3">
        <v>0.05</v>
      </c>
      <c r="H1451" t="s">
        <v>53</v>
      </c>
      <c r="I1451" t="s">
        <v>48</v>
      </c>
      <c r="J1451" t="s">
        <v>21</v>
      </c>
    </row>
    <row r="1452" spans="1:10" x14ac:dyDescent="0.45">
      <c r="A1452" t="s">
        <v>1987</v>
      </c>
      <c r="B1452" s="2">
        <v>45796</v>
      </c>
      <c r="C1452" t="s">
        <v>718</v>
      </c>
      <c r="D1452" t="s">
        <v>78</v>
      </c>
      <c r="E1452" t="s">
        <v>72</v>
      </c>
      <c r="F1452">
        <v>1</v>
      </c>
      <c r="G1452" s="3">
        <v>0.03</v>
      </c>
      <c r="H1452" t="s">
        <v>14</v>
      </c>
      <c r="I1452" t="s">
        <v>54</v>
      </c>
      <c r="J1452" t="s">
        <v>16</v>
      </c>
    </row>
    <row r="1453" spans="1:10" x14ac:dyDescent="0.45">
      <c r="A1453" t="s">
        <v>1988</v>
      </c>
      <c r="B1453" s="2">
        <v>45733</v>
      </c>
      <c r="C1453" t="s">
        <v>628</v>
      </c>
      <c r="D1453" t="s">
        <v>529</v>
      </c>
      <c r="E1453" t="s">
        <v>140</v>
      </c>
      <c r="F1453">
        <v>4</v>
      </c>
      <c r="G1453" s="3">
        <v>0</v>
      </c>
      <c r="H1453" t="s">
        <v>14</v>
      </c>
      <c r="I1453" t="s">
        <v>48</v>
      </c>
      <c r="J1453" t="s">
        <v>21</v>
      </c>
    </row>
    <row r="1454" spans="1:10" x14ac:dyDescent="0.45">
      <c r="A1454" t="s">
        <v>1989</v>
      </c>
      <c r="B1454" s="2">
        <v>45840</v>
      </c>
      <c r="C1454" t="s">
        <v>925</v>
      </c>
      <c r="D1454" t="s">
        <v>43</v>
      </c>
      <c r="E1454" t="s">
        <v>225</v>
      </c>
      <c r="F1454">
        <v>1</v>
      </c>
      <c r="G1454" s="3">
        <v>0.15</v>
      </c>
      <c r="H1454" t="s">
        <v>14</v>
      </c>
      <c r="I1454" t="s">
        <v>54</v>
      </c>
      <c r="J1454" t="s">
        <v>21</v>
      </c>
    </row>
    <row r="1455" spans="1:10" x14ac:dyDescent="0.45">
      <c r="A1455" t="s">
        <v>1990</v>
      </c>
      <c r="B1455" s="2">
        <v>45749</v>
      </c>
      <c r="C1455" t="s">
        <v>416</v>
      </c>
      <c r="D1455" t="s">
        <v>614</v>
      </c>
      <c r="E1455" t="s">
        <v>72</v>
      </c>
      <c r="F1455">
        <v>9</v>
      </c>
      <c r="G1455" s="3">
        <v>0.03</v>
      </c>
      <c r="H1455" t="s">
        <v>53</v>
      </c>
      <c r="I1455" t="s">
        <v>48</v>
      </c>
      <c r="J1455" t="s">
        <v>21</v>
      </c>
    </row>
    <row r="1456" spans="1:10" x14ac:dyDescent="0.45">
      <c r="A1456" t="s">
        <v>1991</v>
      </c>
      <c r="B1456" s="2">
        <v>45987</v>
      </c>
      <c r="C1456" t="s">
        <v>1842</v>
      </c>
      <c r="D1456" t="s">
        <v>164</v>
      </c>
      <c r="E1456" t="s">
        <v>127</v>
      </c>
      <c r="F1456">
        <v>8</v>
      </c>
      <c r="G1456" s="3">
        <v>0.03</v>
      </c>
      <c r="H1456" t="s">
        <v>53</v>
      </c>
      <c r="I1456" t="s">
        <v>27</v>
      </c>
      <c r="J1456" t="s">
        <v>21</v>
      </c>
    </row>
    <row r="1457" spans="1:10" x14ac:dyDescent="0.45">
      <c r="A1457" t="s">
        <v>1992</v>
      </c>
      <c r="B1457" s="2">
        <v>45685</v>
      </c>
      <c r="C1457" t="s">
        <v>286</v>
      </c>
      <c r="D1457" t="s">
        <v>110</v>
      </c>
      <c r="E1457" t="s">
        <v>40</v>
      </c>
      <c r="F1457">
        <v>11</v>
      </c>
      <c r="G1457" s="3">
        <v>0</v>
      </c>
      <c r="H1457" t="s">
        <v>53</v>
      </c>
      <c r="I1457" t="s">
        <v>48</v>
      </c>
      <c r="J1457" t="s">
        <v>21</v>
      </c>
    </row>
    <row r="1458" spans="1:10" x14ac:dyDescent="0.45">
      <c r="A1458" t="s">
        <v>1993</v>
      </c>
      <c r="B1458" s="2">
        <v>45742</v>
      </c>
      <c r="C1458" t="s">
        <v>38</v>
      </c>
      <c r="D1458" t="s">
        <v>78</v>
      </c>
      <c r="E1458" t="s">
        <v>127</v>
      </c>
      <c r="F1458">
        <v>12</v>
      </c>
      <c r="G1458" s="3">
        <v>0.05</v>
      </c>
      <c r="H1458" t="s">
        <v>14</v>
      </c>
      <c r="I1458" t="s">
        <v>48</v>
      </c>
      <c r="J1458" t="s">
        <v>21</v>
      </c>
    </row>
    <row r="1459" spans="1:10" x14ac:dyDescent="0.45">
      <c r="A1459" t="s">
        <v>1994</v>
      </c>
      <c r="B1459" s="2">
        <v>45684</v>
      </c>
      <c r="C1459" t="s">
        <v>1995</v>
      </c>
      <c r="D1459" t="s">
        <v>139</v>
      </c>
      <c r="E1459" t="s">
        <v>35</v>
      </c>
      <c r="F1459">
        <v>12</v>
      </c>
      <c r="G1459" s="3">
        <v>0.03</v>
      </c>
      <c r="H1459" t="s">
        <v>26</v>
      </c>
      <c r="I1459" t="s">
        <v>27</v>
      </c>
      <c r="J1459" t="s">
        <v>21</v>
      </c>
    </row>
    <row r="1460" spans="1:10" x14ac:dyDescent="0.45">
      <c r="A1460" t="s">
        <v>1996</v>
      </c>
      <c r="B1460" s="2">
        <v>45954</v>
      </c>
      <c r="C1460" t="s">
        <v>478</v>
      </c>
      <c r="D1460" t="s">
        <v>233</v>
      </c>
      <c r="E1460" t="s">
        <v>25</v>
      </c>
      <c r="F1460">
        <v>5</v>
      </c>
      <c r="G1460" s="3">
        <v>0.08</v>
      </c>
      <c r="H1460" t="s">
        <v>14</v>
      </c>
      <c r="I1460" t="s">
        <v>54</v>
      </c>
      <c r="J1460" t="s">
        <v>21</v>
      </c>
    </row>
    <row r="1461" spans="1:10" x14ac:dyDescent="0.45">
      <c r="A1461" t="s">
        <v>1997</v>
      </c>
      <c r="B1461" s="2">
        <v>45952</v>
      </c>
      <c r="C1461" t="s">
        <v>526</v>
      </c>
      <c r="D1461" t="s">
        <v>164</v>
      </c>
      <c r="E1461" t="s">
        <v>47</v>
      </c>
      <c r="F1461">
        <v>8</v>
      </c>
      <c r="G1461" s="3">
        <v>0</v>
      </c>
      <c r="H1461" t="s">
        <v>14</v>
      </c>
      <c r="I1461" t="s">
        <v>27</v>
      </c>
      <c r="J1461" t="s">
        <v>21</v>
      </c>
    </row>
    <row r="1462" spans="1:10" x14ac:dyDescent="0.45">
      <c r="A1462" t="s">
        <v>1998</v>
      </c>
      <c r="B1462" s="2">
        <v>46046</v>
      </c>
      <c r="C1462" t="s">
        <v>767</v>
      </c>
      <c r="D1462" t="s">
        <v>348</v>
      </c>
      <c r="E1462" t="s">
        <v>281</v>
      </c>
      <c r="F1462">
        <v>8</v>
      </c>
      <c r="G1462" s="3">
        <v>0</v>
      </c>
      <c r="H1462" t="s">
        <v>14</v>
      </c>
      <c r="I1462" t="s">
        <v>15</v>
      </c>
      <c r="J1462" t="s">
        <v>21</v>
      </c>
    </row>
    <row r="1463" spans="1:10" x14ac:dyDescent="0.45">
      <c r="A1463" t="s">
        <v>1999</v>
      </c>
      <c r="B1463" s="2">
        <v>45925</v>
      </c>
      <c r="C1463" t="s">
        <v>687</v>
      </c>
      <c r="D1463" t="s">
        <v>529</v>
      </c>
      <c r="E1463" t="s">
        <v>97</v>
      </c>
      <c r="F1463">
        <v>4</v>
      </c>
      <c r="G1463" s="3">
        <v>0.15</v>
      </c>
      <c r="H1463" t="s">
        <v>14</v>
      </c>
      <c r="I1463" t="s">
        <v>27</v>
      </c>
      <c r="J1463" t="s">
        <v>21</v>
      </c>
    </row>
    <row r="1464" spans="1:10" x14ac:dyDescent="0.45">
      <c r="A1464" t="s">
        <v>2000</v>
      </c>
      <c r="B1464" s="2">
        <v>46200</v>
      </c>
      <c r="C1464" t="s">
        <v>1467</v>
      </c>
      <c r="D1464" t="s">
        <v>126</v>
      </c>
      <c r="E1464" t="s">
        <v>152</v>
      </c>
      <c r="F1464">
        <v>3</v>
      </c>
      <c r="G1464" s="3">
        <v>0.15</v>
      </c>
      <c r="H1464" t="s">
        <v>14</v>
      </c>
      <c r="I1464" t="s">
        <v>48</v>
      </c>
      <c r="J1464" t="s">
        <v>21</v>
      </c>
    </row>
    <row r="1465" spans="1:10" x14ac:dyDescent="0.45">
      <c r="A1465" t="s">
        <v>2001</v>
      </c>
      <c r="B1465" s="2">
        <v>45891</v>
      </c>
      <c r="C1465" t="s">
        <v>398</v>
      </c>
      <c r="D1465" t="s">
        <v>312</v>
      </c>
      <c r="E1465" t="s">
        <v>140</v>
      </c>
      <c r="F1465">
        <v>6</v>
      </c>
      <c r="G1465" s="3">
        <v>0.1</v>
      </c>
      <c r="H1465" t="s">
        <v>53</v>
      </c>
      <c r="I1465" t="s">
        <v>27</v>
      </c>
      <c r="J1465" t="s">
        <v>21</v>
      </c>
    </row>
    <row r="1466" spans="1:10" x14ac:dyDescent="0.45">
      <c r="A1466" t="s">
        <v>2002</v>
      </c>
      <c r="B1466" s="2">
        <v>45700</v>
      </c>
      <c r="C1466" t="s">
        <v>322</v>
      </c>
      <c r="D1466" t="s">
        <v>94</v>
      </c>
      <c r="E1466" t="s">
        <v>136</v>
      </c>
      <c r="F1466">
        <v>9</v>
      </c>
      <c r="G1466" s="3">
        <v>0</v>
      </c>
      <c r="H1466" t="s">
        <v>53</v>
      </c>
      <c r="I1466" t="s">
        <v>48</v>
      </c>
      <c r="J1466" t="s">
        <v>21</v>
      </c>
    </row>
    <row r="1467" spans="1:10" x14ac:dyDescent="0.45">
      <c r="A1467" t="s">
        <v>2003</v>
      </c>
      <c r="B1467" s="2">
        <v>46129</v>
      </c>
      <c r="C1467" t="s">
        <v>628</v>
      </c>
      <c r="D1467" t="s">
        <v>68</v>
      </c>
      <c r="E1467" t="s">
        <v>82</v>
      </c>
      <c r="F1467">
        <v>10</v>
      </c>
      <c r="G1467" s="3">
        <v>0.1</v>
      </c>
      <c r="H1467" t="s">
        <v>53</v>
      </c>
      <c r="I1467" t="s">
        <v>48</v>
      </c>
      <c r="J1467" t="s">
        <v>16</v>
      </c>
    </row>
    <row r="1468" spans="1:10" x14ac:dyDescent="0.45">
      <c r="A1468" t="s">
        <v>2004</v>
      </c>
      <c r="B1468" s="2">
        <v>45786</v>
      </c>
      <c r="C1468" t="s">
        <v>490</v>
      </c>
      <c r="D1468" t="s">
        <v>404</v>
      </c>
      <c r="E1468" t="s">
        <v>144</v>
      </c>
      <c r="F1468">
        <v>2</v>
      </c>
      <c r="G1468" s="3">
        <v>0</v>
      </c>
      <c r="H1468" t="s">
        <v>14</v>
      </c>
      <c r="I1468" t="s">
        <v>48</v>
      </c>
      <c r="J1468" t="s">
        <v>36</v>
      </c>
    </row>
    <row r="1469" spans="1:10" x14ac:dyDescent="0.45">
      <c r="A1469" t="s">
        <v>2005</v>
      </c>
      <c r="B1469" s="2">
        <v>45785</v>
      </c>
      <c r="C1469" t="s">
        <v>508</v>
      </c>
      <c r="D1469" t="s">
        <v>121</v>
      </c>
      <c r="E1469" t="s">
        <v>140</v>
      </c>
      <c r="F1469">
        <v>9</v>
      </c>
      <c r="G1469" s="3">
        <v>0</v>
      </c>
      <c r="H1469" t="s">
        <v>14</v>
      </c>
      <c r="I1469" t="s">
        <v>27</v>
      </c>
      <c r="J1469" t="s">
        <v>107</v>
      </c>
    </row>
    <row r="1470" spans="1:10" x14ac:dyDescent="0.45">
      <c r="A1470" t="s">
        <v>2006</v>
      </c>
      <c r="B1470" s="2">
        <v>46143</v>
      </c>
      <c r="C1470" t="s">
        <v>212</v>
      </c>
      <c r="D1470" t="s">
        <v>185</v>
      </c>
      <c r="E1470" t="s">
        <v>52</v>
      </c>
      <c r="F1470">
        <v>8</v>
      </c>
      <c r="G1470" s="3">
        <v>0.05</v>
      </c>
      <c r="H1470" t="s">
        <v>14</v>
      </c>
      <c r="I1470" t="s">
        <v>15</v>
      </c>
      <c r="J1470" t="s">
        <v>59</v>
      </c>
    </row>
    <row r="1471" spans="1:10" x14ac:dyDescent="0.45">
      <c r="A1471" t="s">
        <v>2007</v>
      </c>
      <c r="B1471" s="2">
        <v>45723</v>
      </c>
      <c r="C1471" t="s">
        <v>332</v>
      </c>
      <c r="D1471" t="s">
        <v>404</v>
      </c>
      <c r="E1471" t="s">
        <v>25</v>
      </c>
      <c r="F1471">
        <v>7</v>
      </c>
      <c r="G1471" s="3">
        <v>0.08</v>
      </c>
      <c r="H1471" t="s">
        <v>14</v>
      </c>
      <c r="I1471" t="s">
        <v>48</v>
      </c>
      <c r="J1471" t="s">
        <v>21</v>
      </c>
    </row>
    <row r="1472" spans="1:10" x14ac:dyDescent="0.45">
      <c r="A1472" t="s">
        <v>2008</v>
      </c>
      <c r="B1472" s="2">
        <v>45960</v>
      </c>
      <c r="C1472" t="s">
        <v>841</v>
      </c>
      <c r="D1472" t="s">
        <v>30</v>
      </c>
      <c r="E1472" t="s">
        <v>20</v>
      </c>
      <c r="F1472">
        <v>12</v>
      </c>
      <c r="G1472" s="3">
        <v>0.03</v>
      </c>
      <c r="H1472" t="s">
        <v>14</v>
      </c>
      <c r="I1472" t="s">
        <v>27</v>
      </c>
      <c r="J1472" t="s">
        <v>21</v>
      </c>
    </row>
    <row r="1473" spans="1:10" x14ac:dyDescent="0.45">
      <c r="A1473" t="s">
        <v>2009</v>
      </c>
      <c r="B1473" s="2">
        <v>46087</v>
      </c>
      <c r="C1473" t="s">
        <v>11</v>
      </c>
      <c r="D1473" t="s">
        <v>217</v>
      </c>
      <c r="E1473" t="s">
        <v>218</v>
      </c>
      <c r="F1473">
        <v>12</v>
      </c>
      <c r="G1473" s="3">
        <v>0.03</v>
      </c>
      <c r="H1473" t="s">
        <v>14</v>
      </c>
      <c r="I1473" t="s">
        <v>15</v>
      </c>
      <c r="J1473" t="s">
        <v>21</v>
      </c>
    </row>
    <row r="1474" spans="1:10" x14ac:dyDescent="0.45">
      <c r="A1474" t="s">
        <v>2010</v>
      </c>
      <c r="B1474" s="2">
        <v>46131</v>
      </c>
      <c r="C1474" t="s">
        <v>459</v>
      </c>
      <c r="D1474" t="s">
        <v>121</v>
      </c>
      <c r="E1474" t="s">
        <v>127</v>
      </c>
      <c r="F1474">
        <v>1</v>
      </c>
      <c r="G1474" s="3">
        <v>0.15</v>
      </c>
      <c r="H1474" t="s">
        <v>14</v>
      </c>
      <c r="I1474" t="s">
        <v>15</v>
      </c>
      <c r="J1474" t="s">
        <v>21</v>
      </c>
    </row>
    <row r="1475" spans="1:10" x14ac:dyDescent="0.45">
      <c r="A1475" t="s">
        <v>2011</v>
      </c>
      <c r="B1475" s="2">
        <v>45955</v>
      </c>
      <c r="C1475" t="s">
        <v>1491</v>
      </c>
      <c r="D1475" t="s">
        <v>139</v>
      </c>
      <c r="E1475" t="s">
        <v>40</v>
      </c>
      <c r="F1475">
        <v>1</v>
      </c>
      <c r="G1475" s="3">
        <v>0.03</v>
      </c>
      <c r="H1475" t="s">
        <v>14</v>
      </c>
      <c r="I1475" t="s">
        <v>54</v>
      </c>
      <c r="J1475" t="s">
        <v>59</v>
      </c>
    </row>
    <row r="1476" spans="1:10" x14ac:dyDescent="0.45">
      <c r="A1476" t="s">
        <v>2012</v>
      </c>
      <c r="B1476" s="2">
        <v>45849</v>
      </c>
      <c r="C1476" t="s">
        <v>983</v>
      </c>
      <c r="D1476" t="s">
        <v>57</v>
      </c>
      <c r="E1476" t="s">
        <v>52</v>
      </c>
      <c r="F1476">
        <v>5</v>
      </c>
      <c r="G1476" s="3">
        <v>0.05</v>
      </c>
      <c r="H1476" t="s">
        <v>26</v>
      </c>
      <c r="I1476" t="s">
        <v>48</v>
      </c>
      <c r="J1476" t="s">
        <v>21</v>
      </c>
    </row>
    <row r="1477" spans="1:10" x14ac:dyDescent="0.45">
      <c r="A1477" t="s">
        <v>2013</v>
      </c>
      <c r="B1477" s="2">
        <v>46079</v>
      </c>
      <c r="C1477" t="s">
        <v>806</v>
      </c>
      <c r="D1477" t="s">
        <v>161</v>
      </c>
      <c r="E1477" t="s">
        <v>101</v>
      </c>
      <c r="F1477">
        <v>5</v>
      </c>
      <c r="G1477" s="3">
        <v>0.08</v>
      </c>
      <c r="H1477" t="s">
        <v>14</v>
      </c>
      <c r="I1477" t="s">
        <v>48</v>
      </c>
      <c r="J1477" t="s">
        <v>16</v>
      </c>
    </row>
    <row r="1478" spans="1:10" x14ac:dyDescent="0.45">
      <c r="A1478" t="s">
        <v>2014</v>
      </c>
      <c r="B1478" s="2">
        <v>45905</v>
      </c>
      <c r="C1478" t="s">
        <v>543</v>
      </c>
      <c r="D1478" t="s">
        <v>12</v>
      </c>
      <c r="E1478" t="s">
        <v>58</v>
      </c>
      <c r="F1478">
        <v>9</v>
      </c>
      <c r="G1478" s="3">
        <v>0.03</v>
      </c>
      <c r="H1478" t="s">
        <v>53</v>
      </c>
      <c r="I1478" t="s">
        <v>27</v>
      </c>
      <c r="J1478" t="s">
        <v>21</v>
      </c>
    </row>
    <row r="1479" spans="1:10" x14ac:dyDescent="0.45">
      <c r="A1479" t="s">
        <v>2015</v>
      </c>
      <c r="B1479" s="2">
        <v>45721</v>
      </c>
      <c r="C1479" t="s">
        <v>358</v>
      </c>
      <c r="D1479" t="s">
        <v>449</v>
      </c>
      <c r="E1479" t="s">
        <v>82</v>
      </c>
      <c r="F1479">
        <v>11</v>
      </c>
      <c r="G1479" s="3">
        <v>0.1</v>
      </c>
      <c r="H1479" t="s">
        <v>14</v>
      </c>
      <c r="I1479" t="s">
        <v>48</v>
      </c>
      <c r="J1479" t="s">
        <v>107</v>
      </c>
    </row>
    <row r="1480" spans="1:10" x14ac:dyDescent="0.45">
      <c r="A1480" t="s">
        <v>2016</v>
      </c>
      <c r="B1480" s="2">
        <v>45879</v>
      </c>
      <c r="C1480" t="s">
        <v>311</v>
      </c>
      <c r="D1480" t="s">
        <v>283</v>
      </c>
      <c r="E1480" t="s">
        <v>115</v>
      </c>
      <c r="F1480">
        <v>4</v>
      </c>
      <c r="G1480" s="3">
        <v>0.1</v>
      </c>
      <c r="H1480" t="s">
        <v>14</v>
      </c>
      <c r="I1480" t="s">
        <v>27</v>
      </c>
      <c r="J1480" t="s">
        <v>21</v>
      </c>
    </row>
    <row r="1481" spans="1:10" x14ac:dyDescent="0.45">
      <c r="A1481" t="s">
        <v>2017</v>
      </c>
      <c r="B1481" s="2">
        <v>45885</v>
      </c>
      <c r="C1481" t="s">
        <v>455</v>
      </c>
      <c r="D1481" t="s">
        <v>155</v>
      </c>
      <c r="E1481" t="s">
        <v>136</v>
      </c>
      <c r="F1481">
        <v>3</v>
      </c>
      <c r="G1481" s="3">
        <v>0</v>
      </c>
      <c r="H1481" t="s">
        <v>14</v>
      </c>
      <c r="I1481" t="s">
        <v>15</v>
      </c>
      <c r="J1481" t="s">
        <v>21</v>
      </c>
    </row>
    <row r="1482" spans="1:10" x14ac:dyDescent="0.45">
      <c r="A1482" t="s">
        <v>2018</v>
      </c>
      <c r="B1482" s="2">
        <v>45707</v>
      </c>
      <c r="C1482" t="s">
        <v>1024</v>
      </c>
      <c r="D1482" t="s">
        <v>155</v>
      </c>
      <c r="E1482" t="s">
        <v>52</v>
      </c>
      <c r="F1482">
        <v>10</v>
      </c>
      <c r="G1482" s="3">
        <v>0.05</v>
      </c>
      <c r="H1482" t="s">
        <v>14</v>
      </c>
      <c r="I1482" t="s">
        <v>48</v>
      </c>
      <c r="J1482" t="s">
        <v>21</v>
      </c>
    </row>
    <row r="1483" spans="1:10" x14ac:dyDescent="0.45">
      <c r="A1483" t="s">
        <v>2019</v>
      </c>
      <c r="B1483" s="2">
        <v>45795</v>
      </c>
      <c r="C1483" t="s">
        <v>779</v>
      </c>
      <c r="D1483" t="s">
        <v>365</v>
      </c>
      <c r="E1483" t="s">
        <v>115</v>
      </c>
      <c r="F1483">
        <v>7</v>
      </c>
      <c r="G1483" s="3">
        <v>0.1</v>
      </c>
      <c r="H1483" t="s">
        <v>26</v>
      </c>
      <c r="I1483" t="s">
        <v>48</v>
      </c>
      <c r="J1483" t="s">
        <v>36</v>
      </c>
    </row>
    <row r="1484" spans="1:10" x14ac:dyDescent="0.45">
      <c r="A1484" t="s">
        <v>2020</v>
      </c>
      <c r="B1484" s="2">
        <v>46175</v>
      </c>
      <c r="C1484" t="s">
        <v>1035</v>
      </c>
      <c r="D1484" t="s">
        <v>39</v>
      </c>
      <c r="E1484" t="s">
        <v>127</v>
      </c>
      <c r="F1484">
        <v>8</v>
      </c>
      <c r="G1484" s="3">
        <v>0.1</v>
      </c>
      <c r="H1484" t="s">
        <v>26</v>
      </c>
      <c r="I1484" t="s">
        <v>48</v>
      </c>
      <c r="J1484" t="s">
        <v>21</v>
      </c>
    </row>
    <row r="1485" spans="1:10" x14ac:dyDescent="0.45">
      <c r="A1485" t="s">
        <v>2021</v>
      </c>
      <c r="B1485" s="2">
        <v>46195</v>
      </c>
      <c r="C1485" t="s">
        <v>704</v>
      </c>
      <c r="D1485" t="s">
        <v>68</v>
      </c>
      <c r="E1485" t="s">
        <v>40</v>
      </c>
      <c r="F1485">
        <v>1</v>
      </c>
      <c r="G1485" s="3">
        <v>0</v>
      </c>
      <c r="H1485" t="s">
        <v>26</v>
      </c>
      <c r="I1485" t="s">
        <v>54</v>
      </c>
      <c r="J1485" t="s">
        <v>16</v>
      </c>
    </row>
    <row r="1486" spans="1:10" x14ac:dyDescent="0.45">
      <c r="A1486" t="s">
        <v>2022</v>
      </c>
      <c r="B1486" s="2">
        <v>45767</v>
      </c>
      <c r="C1486" t="s">
        <v>390</v>
      </c>
      <c r="D1486" t="s">
        <v>19</v>
      </c>
      <c r="E1486" t="s">
        <v>197</v>
      </c>
      <c r="F1486">
        <v>6</v>
      </c>
      <c r="G1486" s="3">
        <v>0.15</v>
      </c>
      <c r="H1486" t="s">
        <v>14</v>
      </c>
      <c r="I1486" t="s">
        <v>54</v>
      </c>
      <c r="J1486" t="s">
        <v>16</v>
      </c>
    </row>
    <row r="1487" spans="1:10" x14ac:dyDescent="0.45">
      <c r="A1487" t="s">
        <v>2023</v>
      </c>
      <c r="B1487" s="2">
        <v>46044</v>
      </c>
      <c r="C1487" t="s">
        <v>1128</v>
      </c>
      <c r="D1487" t="s">
        <v>110</v>
      </c>
      <c r="E1487" t="s">
        <v>218</v>
      </c>
      <c r="F1487">
        <v>6</v>
      </c>
      <c r="G1487" s="3">
        <v>0.2</v>
      </c>
      <c r="H1487" t="s">
        <v>53</v>
      </c>
      <c r="I1487" t="s">
        <v>15</v>
      </c>
      <c r="J1487" t="s">
        <v>21</v>
      </c>
    </row>
    <row r="1488" spans="1:10" x14ac:dyDescent="0.45">
      <c r="A1488" t="s">
        <v>2024</v>
      </c>
      <c r="B1488" s="2">
        <v>46083</v>
      </c>
      <c r="C1488" t="s">
        <v>653</v>
      </c>
      <c r="D1488" t="s">
        <v>81</v>
      </c>
      <c r="E1488" t="s">
        <v>31</v>
      </c>
      <c r="F1488">
        <v>1</v>
      </c>
      <c r="G1488" s="3">
        <v>0.05</v>
      </c>
      <c r="H1488" t="s">
        <v>14</v>
      </c>
      <c r="I1488" t="s">
        <v>27</v>
      </c>
      <c r="J1488" t="s">
        <v>21</v>
      </c>
    </row>
    <row r="1489" spans="1:10" x14ac:dyDescent="0.45">
      <c r="A1489" t="s">
        <v>2025</v>
      </c>
      <c r="B1489" s="2">
        <v>45730</v>
      </c>
      <c r="C1489" t="s">
        <v>1049</v>
      </c>
      <c r="D1489" t="s">
        <v>39</v>
      </c>
      <c r="E1489" t="s">
        <v>101</v>
      </c>
      <c r="F1489">
        <v>2</v>
      </c>
      <c r="G1489" s="3">
        <v>0.08</v>
      </c>
      <c r="H1489" t="s">
        <v>14</v>
      </c>
      <c r="I1489" t="s">
        <v>27</v>
      </c>
      <c r="J1489" t="s">
        <v>21</v>
      </c>
    </row>
    <row r="1490" spans="1:10" x14ac:dyDescent="0.45">
      <c r="A1490" t="s">
        <v>2026</v>
      </c>
      <c r="B1490" s="2">
        <v>46009</v>
      </c>
      <c r="C1490" t="s">
        <v>248</v>
      </c>
      <c r="D1490" t="s">
        <v>404</v>
      </c>
      <c r="E1490" t="s">
        <v>47</v>
      </c>
      <c r="F1490">
        <v>1</v>
      </c>
      <c r="G1490" s="3">
        <v>0.03</v>
      </c>
      <c r="H1490" t="s">
        <v>53</v>
      </c>
      <c r="I1490" t="s">
        <v>15</v>
      </c>
      <c r="J1490" t="s">
        <v>21</v>
      </c>
    </row>
    <row r="1491" spans="1:10" x14ac:dyDescent="0.45">
      <c r="A1491" t="s">
        <v>2027</v>
      </c>
      <c r="B1491" s="2">
        <v>46175</v>
      </c>
      <c r="C1491" t="s">
        <v>267</v>
      </c>
      <c r="D1491" t="s">
        <v>100</v>
      </c>
      <c r="E1491" t="s">
        <v>115</v>
      </c>
      <c r="F1491">
        <v>3</v>
      </c>
      <c r="G1491" s="3">
        <v>0</v>
      </c>
      <c r="H1491" t="s">
        <v>14</v>
      </c>
      <c r="I1491" t="s">
        <v>27</v>
      </c>
      <c r="J1491" t="s">
        <v>21</v>
      </c>
    </row>
    <row r="1492" spans="1:10" x14ac:dyDescent="0.45">
      <c r="A1492" t="s">
        <v>2028</v>
      </c>
      <c r="B1492" s="2">
        <v>45919</v>
      </c>
      <c r="C1492" t="s">
        <v>976</v>
      </c>
      <c r="D1492" t="s">
        <v>39</v>
      </c>
      <c r="E1492" t="s">
        <v>127</v>
      </c>
      <c r="F1492">
        <v>1</v>
      </c>
      <c r="G1492" s="3">
        <v>0.08</v>
      </c>
      <c r="H1492" t="s">
        <v>14</v>
      </c>
      <c r="I1492" t="s">
        <v>15</v>
      </c>
      <c r="J1492" t="s">
        <v>107</v>
      </c>
    </row>
    <row r="1493" spans="1:10" x14ac:dyDescent="0.45">
      <c r="A1493" t="s">
        <v>2029</v>
      </c>
      <c r="B1493" s="2">
        <v>45679</v>
      </c>
      <c r="C1493" t="s">
        <v>445</v>
      </c>
      <c r="D1493" t="s">
        <v>202</v>
      </c>
      <c r="E1493" t="s">
        <v>25</v>
      </c>
      <c r="F1493">
        <v>6</v>
      </c>
      <c r="G1493" s="3">
        <v>0.05</v>
      </c>
      <c r="H1493" t="s">
        <v>14</v>
      </c>
      <c r="I1493" t="s">
        <v>15</v>
      </c>
      <c r="J1493" t="s">
        <v>21</v>
      </c>
    </row>
    <row r="1494" spans="1:10" x14ac:dyDescent="0.45">
      <c r="A1494" t="s">
        <v>2030</v>
      </c>
      <c r="B1494" s="2">
        <v>45756</v>
      </c>
      <c r="C1494" t="s">
        <v>416</v>
      </c>
      <c r="D1494" t="s">
        <v>348</v>
      </c>
      <c r="E1494" t="s">
        <v>140</v>
      </c>
      <c r="F1494">
        <v>2</v>
      </c>
      <c r="G1494" s="3">
        <v>0.03</v>
      </c>
      <c r="H1494" t="s">
        <v>14</v>
      </c>
      <c r="I1494" t="s">
        <v>48</v>
      </c>
      <c r="J1494" t="s">
        <v>36</v>
      </c>
    </row>
    <row r="1495" spans="1:10" x14ac:dyDescent="0.45">
      <c r="A1495" t="s">
        <v>2031</v>
      </c>
      <c r="B1495" s="2">
        <v>45866</v>
      </c>
      <c r="C1495" t="s">
        <v>953</v>
      </c>
      <c r="D1495" t="s">
        <v>221</v>
      </c>
      <c r="E1495" t="s">
        <v>140</v>
      </c>
      <c r="F1495">
        <v>6</v>
      </c>
      <c r="G1495" s="3">
        <v>0.15</v>
      </c>
      <c r="H1495" t="s">
        <v>14</v>
      </c>
      <c r="I1495" t="s">
        <v>48</v>
      </c>
      <c r="J1495" t="s">
        <v>16</v>
      </c>
    </row>
    <row r="1496" spans="1:10" x14ac:dyDescent="0.45">
      <c r="A1496" t="s">
        <v>2032</v>
      </c>
      <c r="B1496" s="2">
        <v>45815</v>
      </c>
      <c r="C1496" t="s">
        <v>698</v>
      </c>
      <c r="D1496" t="s">
        <v>19</v>
      </c>
      <c r="E1496" t="s">
        <v>136</v>
      </c>
      <c r="F1496">
        <v>11</v>
      </c>
      <c r="G1496" s="3">
        <v>0.2</v>
      </c>
      <c r="H1496" t="s">
        <v>14</v>
      </c>
      <c r="I1496" t="s">
        <v>54</v>
      </c>
      <c r="J1496" t="s">
        <v>21</v>
      </c>
    </row>
    <row r="1497" spans="1:10" x14ac:dyDescent="0.45">
      <c r="A1497" t="s">
        <v>2033</v>
      </c>
      <c r="B1497" s="2">
        <v>46006</v>
      </c>
      <c r="C1497" t="s">
        <v>763</v>
      </c>
      <c r="D1497" t="s">
        <v>130</v>
      </c>
      <c r="E1497" t="s">
        <v>152</v>
      </c>
      <c r="F1497">
        <v>6</v>
      </c>
      <c r="G1497" s="3">
        <v>0</v>
      </c>
      <c r="H1497" t="s">
        <v>53</v>
      </c>
      <c r="I1497" t="s">
        <v>54</v>
      </c>
      <c r="J1497" t="s">
        <v>21</v>
      </c>
    </row>
    <row r="1498" spans="1:10" x14ac:dyDescent="0.45">
      <c r="A1498" t="s">
        <v>2034</v>
      </c>
      <c r="B1498" s="2">
        <v>46154</v>
      </c>
      <c r="C1498" t="s">
        <v>184</v>
      </c>
      <c r="D1498" t="s">
        <v>210</v>
      </c>
      <c r="E1498" t="s">
        <v>25</v>
      </c>
      <c r="F1498">
        <v>7</v>
      </c>
      <c r="G1498" s="3">
        <v>0.03</v>
      </c>
      <c r="H1498" t="s">
        <v>53</v>
      </c>
      <c r="I1498" t="s">
        <v>27</v>
      </c>
      <c r="J1498" t="s">
        <v>21</v>
      </c>
    </row>
    <row r="1499" spans="1:10" x14ac:dyDescent="0.45">
      <c r="A1499" t="s">
        <v>2035</v>
      </c>
      <c r="B1499" s="2">
        <v>45969</v>
      </c>
      <c r="C1499" t="s">
        <v>661</v>
      </c>
      <c r="D1499" t="s">
        <v>646</v>
      </c>
      <c r="E1499" t="s">
        <v>218</v>
      </c>
      <c r="F1499">
        <v>9</v>
      </c>
      <c r="G1499" s="3">
        <v>0</v>
      </c>
      <c r="H1499" t="s">
        <v>53</v>
      </c>
      <c r="I1499" t="s">
        <v>15</v>
      </c>
      <c r="J1499" t="s">
        <v>16</v>
      </c>
    </row>
    <row r="1500" spans="1:10" x14ac:dyDescent="0.45">
      <c r="A1500" t="s">
        <v>2036</v>
      </c>
      <c r="B1500" s="2">
        <v>46146</v>
      </c>
      <c r="C1500" t="s">
        <v>84</v>
      </c>
      <c r="D1500" t="s">
        <v>391</v>
      </c>
      <c r="E1500" t="s">
        <v>218</v>
      </c>
      <c r="F1500">
        <v>11</v>
      </c>
      <c r="G1500" s="3">
        <v>0.03</v>
      </c>
      <c r="H1500" t="s">
        <v>14</v>
      </c>
      <c r="I1500" t="s">
        <v>54</v>
      </c>
      <c r="J1500" t="s">
        <v>21</v>
      </c>
    </row>
    <row r="1501" spans="1:10" x14ac:dyDescent="0.45">
      <c r="A1501" t="s">
        <v>2037</v>
      </c>
      <c r="B1501" s="2">
        <v>45785</v>
      </c>
      <c r="C1501" t="s">
        <v>438</v>
      </c>
      <c r="D1501" t="s">
        <v>34</v>
      </c>
      <c r="E1501" t="s">
        <v>111</v>
      </c>
      <c r="F1501">
        <v>1</v>
      </c>
      <c r="G1501" s="3">
        <v>0</v>
      </c>
      <c r="H1501" t="s">
        <v>53</v>
      </c>
      <c r="I1501" t="s">
        <v>15</v>
      </c>
      <c r="J1501" t="s">
        <v>59</v>
      </c>
    </row>
    <row r="1502" spans="1:10" x14ac:dyDescent="0.45">
      <c r="A1502" t="s">
        <v>2038</v>
      </c>
      <c r="B1502" s="2">
        <v>46177</v>
      </c>
      <c r="C1502" t="s">
        <v>363</v>
      </c>
      <c r="D1502" t="s">
        <v>114</v>
      </c>
      <c r="E1502" t="s">
        <v>35</v>
      </c>
      <c r="F1502">
        <v>6</v>
      </c>
      <c r="G1502" s="3">
        <v>0</v>
      </c>
      <c r="H1502" t="s">
        <v>53</v>
      </c>
      <c r="I1502" t="s">
        <v>27</v>
      </c>
      <c r="J1502" t="s">
        <v>21</v>
      </c>
    </row>
    <row r="1503" spans="1:10" x14ac:dyDescent="0.45">
      <c r="A1503" t="s">
        <v>2039</v>
      </c>
      <c r="B1503" s="2">
        <v>45827</v>
      </c>
      <c r="C1503" t="s">
        <v>1766</v>
      </c>
      <c r="D1503" t="s">
        <v>62</v>
      </c>
      <c r="E1503" t="s">
        <v>152</v>
      </c>
      <c r="F1503">
        <v>7</v>
      </c>
      <c r="G1503" s="3">
        <v>0.15</v>
      </c>
      <c r="H1503" t="s">
        <v>53</v>
      </c>
      <c r="I1503" t="s">
        <v>15</v>
      </c>
      <c r="J1503" t="s">
        <v>36</v>
      </c>
    </row>
    <row r="1504" spans="1:10" x14ac:dyDescent="0.45">
      <c r="A1504" t="s">
        <v>2040</v>
      </c>
      <c r="B1504" s="2">
        <v>46125</v>
      </c>
      <c r="C1504" t="s">
        <v>80</v>
      </c>
      <c r="D1504" t="s">
        <v>65</v>
      </c>
      <c r="E1504" t="s">
        <v>52</v>
      </c>
      <c r="F1504">
        <v>2</v>
      </c>
      <c r="G1504" s="3">
        <v>0.08</v>
      </c>
      <c r="H1504" t="s">
        <v>14</v>
      </c>
      <c r="I1504" t="s">
        <v>27</v>
      </c>
      <c r="J1504" t="s">
        <v>21</v>
      </c>
    </row>
    <row r="1505" spans="1:10" x14ac:dyDescent="0.45">
      <c r="A1505" t="s">
        <v>2041</v>
      </c>
      <c r="B1505" s="2">
        <v>45808</v>
      </c>
      <c r="C1505" t="s">
        <v>913</v>
      </c>
      <c r="D1505" t="s">
        <v>196</v>
      </c>
      <c r="E1505" t="s">
        <v>218</v>
      </c>
      <c r="F1505">
        <v>6</v>
      </c>
      <c r="G1505" s="3">
        <v>0</v>
      </c>
      <c r="H1505" t="s">
        <v>14</v>
      </c>
      <c r="I1505" t="s">
        <v>27</v>
      </c>
      <c r="J1505" t="s">
        <v>21</v>
      </c>
    </row>
    <row r="1506" spans="1:10" x14ac:dyDescent="0.45">
      <c r="A1506" t="s">
        <v>2042</v>
      </c>
      <c r="B1506" s="2">
        <v>45852</v>
      </c>
      <c r="C1506" t="s">
        <v>201</v>
      </c>
      <c r="D1506" t="s">
        <v>71</v>
      </c>
      <c r="E1506" t="s">
        <v>144</v>
      </c>
      <c r="F1506">
        <v>2</v>
      </c>
      <c r="G1506" s="3">
        <v>0.03</v>
      </c>
      <c r="H1506" t="s">
        <v>53</v>
      </c>
      <c r="I1506" t="s">
        <v>54</v>
      </c>
      <c r="J1506" t="s">
        <v>21</v>
      </c>
    </row>
    <row r="1507" spans="1:10" x14ac:dyDescent="0.45">
      <c r="A1507" t="s">
        <v>2043</v>
      </c>
      <c r="B1507" s="2">
        <v>45714</v>
      </c>
      <c r="C1507" t="s">
        <v>448</v>
      </c>
      <c r="D1507" t="s">
        <v>235</v>
      </c>
      <c r="E1507" t="s">
        <v>136</v>
      </c>
      <c r="F1507">
        <v>7</v>
      </c>
      <c r="G1507" s="3">
        <v>0</v>
      </c>
      <c r="H1507" t="s">
        <v>26</v>
      </c>
      <c r="I1507" t="s">
        <v>15</v>
      </c>
      <c r="J1507" t="s">
        <v>21</v>
      </c>
    </row>
    <row r="1508" spans="1:10" x14ac:dyDescent="0.45">
      <c r="A1508" t="s">
        <v>2044</v>
      </c>
      <c r="B1508" s="2">
        <v>46085</v>
      </c>
      <c r="C1508" t="s">
        <v>371</v>
      </c>
      <c r="D1508" t="s">
        <v>155</v>
      </c>
      <c r="E1508" t="s">
        <v>85</v>
      </c>
      <c r="F1508">
        <v>1</v>
      </c>
      <c r="G1508" s="3">
        <v>0.2</v>
      </c>
      <c r="H1508" t="s">
        <v>14</v>
      </c>
      <c r="I1508" t="s">
        <v>54</v>
      </c>
      <c r="J1508" t="s">
        <v>21</v>
      </c>
    </row>
    <row r="1509" spans="1:10" x14ac:dyDescent="0.45">
      <c r="A1509" t="s">
        <v>2045</v>
      </c>
      <c r="B1509" s="2">
        <v>45883</v>
      </c>
      <c r="C1509" t="s">
        <v>1467</v>
      </c>
      <c r="D1509" t="s">
        <v>151</v>
      </c>
      <c r="E1509" t="s">
        <v>140</v>
      </c>
      <c r="F1509">
        <v>6</v>
      </c>
      <c r="G1509" s="3">
        <v>0.1</v>
      </c>
      <c r="H1509" t="s">
        <v>53</v>
      </c>
      <c r="I1509" t="s">
        <v>54</v>
      </c>
      <c r="J1509" t="s">
        <v>21</v>
      </c>
    </row>
    <row r="1510" spans="1:10" x14ac:dyDescent="0.45">
      <c r="A1510" t="s">
        <v>2046</v>
      </c>
      <c r="B1510" s="2">
        <v>45661</v>
      </c>
      <c r="C1510" t="s">
        <v>1445</v>
      </c>
      <c r="D1510" t="s">
        <v>217</v>
      </c>
      <c r="E1510" t="s">
        <v>101</v>
      </c>
      <c r="F1510">
        <v>6</v>
      </c>
      <c r="G1510" s="3">
        <v>0.15</v>
      </c>
      <c r="H1510" t="s">
        <v>53</v>
      </c>
      <c r="I1510" t="s">
        <v>48</v>
      </c>
      <c r="J1510" t="s">
        <v>107</v>
      </c>
    </row>
    <row r="1511" spans="1:10" x14ac:dyDescent="0.45">
      <c r="A1511" t="s">
        <v>2047</v>
      </c>
      <c r="B1511" s="2">
        <v>46102</v>
      </c>
      <c r="C1511" t="s">
        <v>696</v>
      </c>
      <c r="D1511" t="s">
        <v>196</v>
      </c>
      <c r="E1511" t="s">
        <v>82</v>
      </c>
      <c r="F1511">
        <v>6</v>
      </c>
      <c r="G1511" s="3">
        <v>0</v>
      </c>
      <c r="H1511" t="s">
        <v>14</v>
      </c>
      <c r="I1511" t="s">
        <v>54</v>
      </c>
      <c r="J1511" t="s">
        <v>21</v>
      </c>
    </row>
    <row r="1512" spans="1:10" x14ac:dyDescent="0.45">
      <c r="A1512" t="s">
        <v>2048</v>
      </c>
      <c r="B1512" s="2">
        <v>45808</v>
      </c>
      <c r="C1512" t="s">
        <v>698</v>
      </c>
      <c r="D1512" t="s">
        <v>158</v>
      </c>
      <c r="E1512" t="s">
        <v>52</v>
      </c>
      <c r="F1512">
        <v>7</v>
      </c>
      <c r="G1512" s="3">
        <v>0.08</v>
      </c>
      <c r="H1512" t="s">
        <v>14</v>
      </c>
      <c r="I1512" t="s">
        <v>15</v>
      </c>
      <c r="J1512" t="s">
        <v>21</v>
      </c>
    </row>
    <row r="1513" spans="1:10" x14ac:dyDescent="0.45">
      <c r="A1513" t="s">
        <v>2049</v>
      </c>
      <c r="B1513" s="2">
        <v>45732</v>
      </c>
      <c r="C1513" t="s">
        <v>209</v>
      </c>
      <c r="D1513" t="s">
        <v>68</v>
      </c>
      <c r="E1513" t="s">
        <v>25</v>
      </c>
      <c r="F1513">
        <v>4</v>
      </c>
      <c r="G1513" s="3">
        <v>0</v>
      </c>
      <c r="H1513" t="s">
        <v>14</v>
      </c>
      <c r="I1513" t="s">
        <v>15</v>
      </c>
      <c r="J1513" t="s">
        <v>21</v>
      </c>
    </row>
    <row r="1514" spans="1:10" x14ac:dyDescent="0.45">
      <c r="A1514" t="s">
        <v>2050</v>
      </c>
      <c r="B1514" s="2">
        <v>45852</v>
      </c>
      <c r="C1514" t="s">
        <v>777</v>
      </c>
      <c r="D1514" t="s">
        <v>167</v>
      </c>
      <c r="E1514" t="s">
        <v>40</v>
      </c>
      <c r="F1514">
        <v>9</v>
      </c>
      <c r="G1514" s="3">
        <v>0.1</v>
      </c>
      <c r="H1514" t="s">
        <v>14</v>
      </c>
      <c r="I1514" t="s">
        <v>48</v>
      </c>
      <c r="J1514" t="s">
        <v>21</v>
      </c>
    </row>
    <row r="1515" spans="1:10" x14ac:dyDescent="0.45">
      <c r="A1515" t="s">
        <v>2051</v>
      </c>
      <c r="B1515" s="2">
        <v>45810</v>
      </c>
      <c r="C1515" t="s">
        <v>953</v>
      </c>
      <c r="D1515" t="s">
        <v>312</v>
      </c>
      <c r="E1515" t="s">
        <v>136</v>
      </c>
      <c r="F1515">
        <v>4</v>
      </c>
      <c r="G1515" s="3">
        <v>0.08</v>
      </c>
      <c r="H1515" t="s">
        <v>53</v>
      </c>
      <c r="I1515" t="s">
        <v>27</v>
      </c>
      <c r="J1515" t="s">
        <v>21</v>
      </c>
    </row>
    <row r="1516" spans="1:10" x14ac:dyDescent="0.45">
      <c r="A1516" t="s">
        <v>2052</v>
      </c>
      <c r="B1516" s="2">
        <v>46147</v>
      </c>
      <c r="C1516" t="s">
        <v>661</v>
      </c>
      <c r="D1516" t="s">
        <v>19</v>
      </c>
      <c r="E1516" t="s">
        <v>144</v>
      </c>
      <c r="F1516">
        <v>4</v>
      </c>
      <c r="G1516" s="3">
        <v>0</v>
      </c>
      <c r="H1516" t="s">
        <v>14</v>
      </c>
      <c r="I1516" t="s">
        <v>15</v>
      </c>
      <c r="J1516" t="s">
        <v>21</v>
      </c>
    </row>
    <row r="1517" spans="1:10" x14ac:dyDescent="0.45">
      <c r="A1517" t="s">
        <v>2053</v>
      </c>
      <c r="B1517" s="2">
        <v>45777</v>
      </c>
      <c r="C1517" t="s">
        <v>154</v>
      </c>
      <c r="D1517" t="s">
        <v>277</v>
      </c>
      <c r="E1517" t="s">
        <v>35</v>
      </c>
      <c r="F1517">
        <v>7</v>
      </c>
      <c r="G1517" s="3">
        <v>0.05</v>
      </c>
      <c r="H1517" t="s">
        <v>14</v>
      </c>
      <c r="I1517" t="s">
        <v>54</v>
      </c>
      <c r="J1517" t="s">
        <v>16</v>
      </c>
    </row>
    <row r="1518" spans="1:10" x14ac:dyDescent="0.45">
      <c r="A1518" t="s">
        <v>2054</v>
      </c>
      <c r="B1518" s="2">
        <v>45725</v>
      </c>
      <c r="C1518" t="s">
        <v>305</v>
      </c>
      <c r="D1518" t="s">
        <v>19</v>
      </c>
      <c r="E1518" t="s">
        <v>35</v>
      </c>
      <c r="F1518">
        <v>7</v>
      </c>
      <c r="G1518" s="3">
        <v>0</v>
      </c>
      <c r="H1518" t="s">
        <v>53</v>
      </c>
      <c r="I1518" t="s">
        <v>27</v>
      </c>
      <c r="J1518" t="s">
        <v>21</v>
      </c>
    </row>
    <row r="1519" spans="1:10" x14ac:dyDescent="0.45">
      <c r="A1519" t="s">
        <v>2055</v>
      </c>
      <c r="B1519" s="2">
        <v>45987</v>
      </c>
      <c r="C1519" t="s">
        <v>301</v>
      </c>
      <c r="D1519" t="s">
        <v>114</v>
      </c>
      <c r="E1519" t="s">
        <v>127</v>
      </c>
      <c r="F1519">
        <v>1</v>
      </c>
      <c r="G1519" s="3">
        <v>0.2</v>
      </c>
      <c r="H1519" t="s">
        <v>14</v>
      </c>
      <c r="I1519" t="s">
        <v>54</v>
      </c>
      <c r="J1519" t="s">
        <v>36</v>
      </c>
    </row>
    <row r="1520" spans="1:10" x14ac:dyDescent="0.45">
      <c r="A1520" t="s">
        <v>2056</v>
      </c>
      <c r="B1520" s="2">
        <v>46111</v>
      </c>
      <c r="C1520" t="s">
        <v>96</v>
      </c>
      <c r="D1520" t="s">
        <v>430</v>
      </c>
      <c r="E1520" t="s">
        <v>197</v>
      </c>
      <c r="F1520">
        <v>11</v>
      </c>
      <c r="G1520" s="3">
        <v>0.15</v>
      </c>
      <c r="H1520" t="s">
        <v>53</v>
      </c>
      <c r="I1520" t="s">
        <v>48</v>
      </c>
      <c r="J1520" t="s">
        <v>59</v>
      </c>
    </row>
    <row r="1521" spans="1:10" x14ac:dyDescent="0.45">
      <c r="A1521" t="s">
        <v>2057</v>
      </c>
      <c r="B1521" s="2">
        <v>45675</v>
      </c>
      <c r="C1521" t="s">
        <v>334</v>
      </c>
      <c r="D1521" t="s">
        <v>205</v>
      </c>
      <c r="E1521" t="s">
        <v>152</v>
      </c>
      <c r="F1521">
        <v>8</v>
      </c>
      <c r="G1521" s="3">
        <v>0.2</v>
      </c>
      <c r="H1521" t="s">
        <v>14</v>
      </c>
      <c r="I1521" t="s">
        <v>27</v>
      </c>
      <c r="J1521" t="s">
        <v>21</v>
      </c>
    </row>
    <row r="1522" spans="1:10" x14ac:dyDescent="0.45">
      <c r="A1522" t="s">
        <v>2058</v>
      </c>
      <c r="B1522" s="2">
        <v>46070</v>
      </c>
      <c r="C1522" t="s">
        <v>1049</v>
      </c>
      <c r="D1522" t="s">
        <v>62</v>
      </c>
      <c r="E1522" t="s">
        <v>225</v>
      </c>
      <c r="F1522">
        <v>7</v>
      </c>
      <c r="G1522" s="3">
        <v>0.03</v>
      </c>
      <c r="H1522" t="s">
        <v>14</v>
      </c>
      <c r="I1522" t="s">
        <v>27</v>
      </c>
      <c r="J1522" t="s">
        <v>21</v>
      </c>
    </row>
    <row r="1523" spans="1:10" x14ac:dyDescent="0.45">
      <c r="A1523" t="s">
        <v>2059</v>
      </c>
      <c r="B1523" s="2">
        <v>46161</v>
      </c>
      <c r="C1523" t="s">
        <v>2060</v>
      </c>
      <c r="D1523" t="s">
        <v>46</v>
      </c>
      <c r="E1523" t="s">
        <v>111</v>
      </c>
      <c r="F1523">
        <v>12</v>
      </c>
      <c r="G1523" s="3">
        <v>0.2</v>
      </c>
      <c r="H1523" t="s">
        <v>26</v>
      </c>
      <c r="I1523" t="s">
        <v>48</v>
      </c>
      <c r="J1523" t="s">
        <v>107</v>
      </c>
    </row>
    <row r="1524" spans="1:10" x14ac:dyDescent="0.45">
      <c r="A1524" t="s">
        <v>2061</v>
      </c>
      <c r="B1524" s="2">
        <v>45927</v>
      </c>
      <c r="C1524" t="s">
        <v>432</v>
      </c>
      <c r="D1524" t="s">
        <v>114</v>
      </c>
      <c r="E1524" t="s">
        <v>127</v>
      </c>
      <c r="F1524">
        <v>1</v>
      </c>
      <c r="G1524" s="3">
        <v>0.15</v>
      </c>
      <c r="H1524" t="s">
        <v>26</v>
      </c>
      <c r="I1524" t="s">
        <v>27</v>
      </c>
      <c r="J1524" t="s">
        <v>21</v>
      </c>
    </row>
    <row r="1525" spans="1:10" x14ac:dyDescent="0.45">
      <c r="A1525" t="s">
        <v>2062</v>
      </c>
      <c r="B1525" s="2">
        <v>46122</v>
      </c>
      <c r="C1525" t="s">
        <v>947</v>
      </c>
      <c r="D1525" t="s">
        <v>430</v>
      </c>
      <c r="E1525" t="s">
        <v>115</v>
      </c>
      <c r="F1525">
        <v>4</v>
      </c>
      <c r="G1525" s="3">
        <v>0</v>
      </c>
      <c r="H1525" t="s">
        <v>26</v>
      </c>
      <c r="I1525" t="s">
        <v>27</v>
      </c>
      <c r="J1525" t="s">
        <v>21</v>
      </c>
    </row>
    <row r="1526" spans="1:10" x14ac:dyDescent="0.45">
      <c r="A1526" t="s">
        <v>2063</v>
      </c>
      <c r="B1526" s="2">
        <v>46068</v>
      </c>
      <c r="C1526" t="s">
        <v>322</v>
      </c>
      <c r="D1526" t="s">
        <v>430</v>
      </c>
      <c r="E1526" t="s">
        <v>58</v>
      </c>
      <c r="F1526">
        <v>2</v>
      </c>
      <c r="G1526" s="3">
        <v>0.2</v>
      </c>
      <c r="H1526" t="s">
        <v>14</v>
      </c>
      <c r="I1526" t="s">
        <v>48</v>
      </c>
      <c r="J1526" t="s">
        <v>21</v>
      </c>
    </row>
    <row r="1527" spans="1:10" x14ac:dyDescent="0.45">
      <c r="A1527" t="s">
        <v>2064</v>
      </c>
      <c r="B1527" s="2">
        <v>45762</v>
      </c>
      <c r="C1527" t="s">
        <v>1354</v>
      </c>
      <c r="D1527" t="s">
        <v>179</v>
      </c>
      <c r="E1527" t="s">
        <v>20</v>
      </c>
      <c r="F1527">
        <v>2</v>
      </c>
      <c r="G1527" s="3">
        <v>0.03</v>
      </c>
      <c r="H1527" t="s">
        <v>14</v>
      </c>
      <c r="I1527" t="s">
        <v>48</v>
      </c>
      <c r="J1527" t="s">
        <v>21</v>
      </c>
    </row>
    <row r="1528" spans="1:10" x14ac:dyDescent="0.45">
      <c r="A1528" t="s">
        <v>2065</v>
      </c>
      <c r="B1528" s="2">
        <v>45983</v>
      </c>
      <c r="C1528" t="s">
        <v>641</v>
      </c>
      <c r="D1528" t="s">
        <v>283</v>
      </c>
      <c r="E1528" t="s">
        <v>140</v>
      </c>
      <c r="F1528">
        <v>3</v>
      </c>
      <c r="G1528" s="3">
        <v>0.2</v>
      </c>
      <c r="H1528" t="s">
        <v>14</v>
      </c>
      <c r="I1528" t="s">
        <v>27</v>
      </c>
      <c r="J1528" t="s">
        <v>21</v>
      </c>
    </row>
    <row r="1529" spans="1:10" x14ac:dyDescent="0.45">
      <c r="A1529" t="s">
        <v>2066</v>
      </c>
      <c r="B1529" s="2">
        <v>45734</v>
      </c>
      <c r="C1529" t="s">
        <v>375</v>
      </c>
      <c r="D1529" t="s">
        <v>130</v>
      </c>
      <c r="E1529" t="s">
        <v>85</v>
      </c>
      <c r="F1529">
        <v>11</v>
      </c>
      <c r="G1529" s="3">
        <v>0.08</v>
      </c>
      <c r="H1529" t="s">
        <v>14</v>
      </c>
      <c r="I1529" t="s">
        <v>48</v>
      </c>
      <c r="J1529" t="s">
        <v>59</v>
      </c>
    </row>
    <row r="1530" spans="1:10" x14ac:dyDescent="0.45">
      <c r="A1530" t="s">
        <v>2067</v>
      </c>
      <c r="B1530" s="2">
        <v>45706</v>
      </c>
      <c r="C1530" t="s">
        <v>1862</v>
      </c>
      <c r="D1530" t="s">
        <v>78</v>
      </c>
      <c r="E1530" t="s">
        <v>281</v>
      </c>
      <c r="F1530">
        <v>3</v>
      </c>
      <c r="G1530" s="3">
        <v>0.15</v>
      </c>
      <c r="H1530" t="s">
        <v>14</v>
      </c>
      <c r="I1530" t="s">
        <v>48</v>
      </c>
      <c r="J1530" t="s">
        <v>107</v>
      </c>
    </row>
    <row r="1531" spans="1:10" x14ac:dyDescent="0.45">
      <c r="A1531" t="s">
        <v>2068</v>
      </c>
      <c r="B1531" s="2">
        <v>45949</v>
      </c>
      <c r="C1531" t="s">
        <v>991</v>
      </c>
      <c r="D1531" t="s">
        <v>235</v>
      </c>
      <c r="E1531" t="s">
        <v>152</v>
      </c>
      <c r="F1531">
        <v>1</v>
      </c>
      <c r="G1531" s="3">
        <v>0.05</v>
      </c>
      <c r="H1531" t="s">
        <v>14</v>
      </c>
      <c r="I1531" t="s">
        <v>27</v>
      </c>
      <c r="J1531" t="s">
        <v>16</v>
      </c>
    </row>
    <row r="1532" spans="1:10" x14ac:dyDescent="0.45">
      <c r="A1532" t="s">
        <v>2069</v>
      </c>
      <c r="B1532" s="2">
        <v>45768</v>
      </c>
      <c r="C1532" t="s">
        <v>248</v>
      </c>
      <c r="D1532" t="s">
        <v>280</v>
      </c>
      <c r="E1532" t="s">
        <v>52</v>
      </c>
      <c r="F1532">
        <v>3</v>
      </c>
      <c r="G1532" s="3">
        <v>0.2</v>
      </c>
      <c r="H1532" t="s">
        <v>53</v>
      </c>
      <c r="I1532" t="s">
        <v>15</v>
      </c>
      <c r="J1532" t="s">
        <v>21</v>
      </c>
    </row>
    <row r="1533" spans="1:10" x14ac:dyDescent="0.45">
      <c r="A1533" t="s">
        <v>2070</v>
      </c>
      <c r="B1533" s="2">
        <v>45672</v>
      </c>
      <c r="C1533" t="s">
        <v>322</v>
      </c>
      <c r="D1533" t="s">
        <v>439</v>
      </c>
      <c r="E1533" t="s">
        <v>127</v>
      </c>
      <c r="F1533">
        <v>3</v>
      </c>
      <c r="G1533" s="3">
        <v>0</v>
      </c>
      <c r="H1533" t="s">
        <v>53</v>
      </c>
      <c r="I1533" t="s">
        <v>54</v>
      </c>
      <c r="J1533" t="s">
        <v>21</v>
      </c>
    </row>
    <row r="1534" spans="1:10" x14ac:dyDescent="0.45">
      <c r="A1534" t="s">
        <v>2071</v>
      </c>
      <c r="B1534" s="2">
        <v>46087</v>
      </c>
      <c r="C1534" t="s">
        <v>947</v>
      </c>
      <c r="D1534" t="s">
        <v>24</v>
      </c>
      <c r="E1534" t="s">
        <v>140</v>
      </c>
      <c r="F1534">
        <v>3</v>
      </c>
      <c r="G1534" s="3">
        <v>0.1</v>
      </c>
      <c r="H1534" t="s">
        <v>53</v>
      </c>
      <c r="I1534" t="s">
        <v>15</v>
      </c>
      <c r="J1534" t="s">
        <v>16</v>
      </c>
    </row>
    <row r="1535" spans="1:10" x14ac:dyDescent="0.45">
      <c r="A1535" t="s">
        <v>2072</v>
      </c>
      <c r="B1535" s="2">
        <v>45897</v>
      </c>
      <c r="C1535" t="s">
        <v>777</v>
      </c>
      <c r="D1535" t="s">
        <v>114</v>
      </c>
      <c r="E1535" t="s">
        <v>85</v>
      </c>
      <c r="F1535">
        <v>7</v>
      </c>
      <c r="G1535" s="3">
        <v>0.05</v>
      </c>
      <c r="H1535" t="s">
        <v>53</v>
      </c>
      <c r="I1535" t="s">
        <v>54</v>
      </c>
      <c r="J1535" t="s">
        <v>36</v>
      </c>
    </row>
    <row r="1536" spans="1:10" x14ac:dyDescent="0.45">
      <c r="A1536" t="s">
        <v>2073</v>
      </c>
      <c r="B1536" s="2">
        <v>45984</v>
      </c>
      <c r="C1536" t="s">
        <v>749</v>
      </c>
      <c r="D1536" t="s">
        <v>185</v>
      </c>
      <c r="E1536" t="s">
        <v>52</v>
      </c>
      <c r="F1536">
        <v>7</v>
      </c>
      <c r="G1536" s="3">
        <v>0</v>
      </c>
      <c r="H1536" t="s">
        <v>14</v>
      </c>
      <c r="I1536" t="s">
        <v>15</v>
      </c>
      <c r="J1536" t="s">
        <v>107</v>
      </c>
    </row>
    <row r="1537" spans="1:10" x14ac:dyDescent="0.45">
      <c r="A1537" t="s">
        <v>2074</v>
      </c>
      <c r="B1537" s="2">
        <v>46096</v>
      </c>
      <c r="C1537" t="s">
        <v>781</v>
      </c>
      <c r="D1537" t="s">
        <v>365</v>
      </c>
      <c r="E1537" t="s">
        <v>72</v>
      </c>
      <c r="F1537">
        <v>7</v>
      </c>
      <c r="G1537" s="3">
        <v>0</v>
      </c>
      <c r="H1537" t="s">
        <v>14</v>
      </c>
      <c r="I1537" t="s">
        <v>48</v>
      </c>
      <c r="J1537" t="s">
        <v>21</v>
      </c>
    </row>
    <row r="1538" spans="1:10" x14ac:dyDescent="0.45">
      <c r="A1538" t="s">
        <v>2075</v>
      </c>
      <c r="B1538" s="2">
        <v>46188</v>
      </c>
      <c r="C1538" t="s">
        <v>727</v>
      </c>
      <c r="D1538" t="s">
        <v>283</v>
      </c>
      <c r="E1538" t="s">
        <v>136</v>
      </c>
      <c r="F1538">
        <v>3</v>
      </c>
      <c r="G1538" s="3">
        <v>0</v>
      </c>
      <c r="H1538" t="s">
        <v>14</v>
      </c>
      <c r="I1538" t="s">
        <v>48</v>
      </c>
      <c r="J1538" t="s">
        <v>21</v>
      </c>
    </row>
    <row r="1539" spans="1:10" x14ac:dyDescent="0.45">
      <c r="A1539" t="s">
        <v>2076</v>
      </c>
      <c r="B1539" s="2">
        <v>45833</v>
      </c>
      <c r="C1539" t="s">
        <v>1177</v>
      </c>
      <c r="D1539" t="s">
        <v>241</v>
      </c>
      <c r="E1539" t="s">
        <v>20</v>
      </c>
      <c r="F1539">
        <v>3</v>
      </c>
      <c r="G1539" s="3">
        <v>0.05</v>
      </c>
      <c r="H1539" t="s">
        <v>53</v>
      </c>
      <c r="I1539" t="s">
        <v>27</v>
      </c>
      <c r="J1539" t="s">
        <v>59</v>
      </c>
    </row>
    <row r="1540" spans="1:10" x14ac:dyDescent="0.45">
      <c r="A1540" t="s">
        <v>2077</v>
      </c>
      <c r="B1540" s="2">
        <v>46032</v>
      </c>
      <c r="C1540" t="s">
        <v>833</v>
      </c>
      <c r="D1540" t="s">
        <v>318</v>
      </c>
      <c r="E1540" t="s">
        <v>20</v>
      </c>
      <c r="F1540">
        <v>1</v>
      </c>
      <c r="G1540" s="3">
        <v>0.1</v>
      </c>
      <c r="H1540" t="s">
        <v>14</v>
      </c>
      <c r="I1540" t="s">
        <v>15</v>
      </c>
      <c r="J1540" t="s">
        <v>36</v>
      </c>
    </row>
    <row r="1541" spans="1:10" x14ac:dyDescent="0.45">
      <c r="A1541" t="s">
        <v>2078</v>
      </c>
      <c r="B1541" s="2">
        <v>45811</v>
      </c>
      <c r="C1541" t="s">
        <v>777</v>
      </c>
      <c r="D1541" t="s">
        <v>24</v>
      </c>
      <c r="E1541" t="s">
        <v>136</v>
      </c>
      <c r="F1541">
        <v>12</v>
      </c>
      <c r="G1541" s="3">
        <v>0</v>
      </c>
      <c r="H1541" t="s">
        <v>14</v>
      </c>
      <c r="I1541" t="s">
        <v>54</v>
      </c>
      <c r="J1541" t="s">
        <v>21</v>
      </c>
    </row>
    <row r="1542" spans="1:10" x14ac:dyDescent="0.45">
      <c r="A1542" t="s">
        <v>2079</v>
      </c>
      <c r="B1542" s="2">
        <v>46065</v>
      </c>
      <c r="C1542" t="s">
        <v>759</v>
      </c>
      <c r="D1542" t="s">
        <v>182</v>
      </c>
      <c r="E1542" t="s">
        <v>281</v>
      </c>
      <c r="F1542">
        <v>8</v>
      </c>
      <c r="G1542" s="3">
        <v>0</v>
      </c>
      <c r="H1542" t="s">
        <v>14</v>
      </c>
      <c r="I1542" t="s">
        <v>27</v>
      </c>
      <c r="J1542" t="s">
        <v>21</v>
      </c>
    </row>
    <row r="1543" spans="1:10" x14ac:dyDescent="0.45">
      <c r="A1543" t="s">
        <v>2080</v>
      </c>
      <c r="B1543" s="2">
        <v>45953</v>
      </c>
      <c r="C1543" t="s">
        <v>1198</v>
      </c>
      <c r="D1543" t="s">
        <v>114</v>
      </c>
      <c r="E1543" t="s">
        <v>52</v>
      </c>
      <c r="F1543">
        <v>9</v>
      </c>
      <c r="G1543" s="3">
        <v>0</v>
      </c>
      <c r="H1543" t="s">
        <v>26</v>
      </c>
      <c r="I1543" t="s">
        <v>54</v>
      </c>
      <c r="J1543" t="s">
        <v>36</v>
      </c>
    </row>
    <row r="1544" spans="1:10" x14ac:dyDescent="0.45">
      <c r="A1544" t="s">
        <v>2081</v>
      </c>
      <c r="B1544" s="2">
        <v>45893</v>
      </c>
      <c r="C1544" t="s">
        <v>541</v>
      </c>
      <c r="D1544" t="s">
        <v>148</v>
      </c>
      <c r="E1544" t="s">
        <v>35</v>
      </c>
      <c r="F1544">
        <v>11</v>
      </c>
      <c r="G1544" s="3">
        <v>0.15</v>
      </c>
      <c r="H1544" t="s">
        <v>26</v>
      </c>
      <c r="I1544" t="s">
        <v>27</v>
      </c>
      <c r="J1544" t="s">
        <v>21</v>
      </c>
    </row>
    <row r="1545" spans="1:10" x14ac:dyDescent="0.45">
      <c r="A1545" t="s">
        <v>2082</v>
      </c>
      <c r="B1545" s="2">
        <v>46003</v>
      </c>
      <c r="C1545" t="s">
        <v>311</v>
      </c>
      <c r="D1545" t="s">
        <v>91</v>
      </c>
      <c r="E1545" t="s">
        <v>101</v>
      </c>
      <c r="F1545">
        <v>12</v>
      </c>
      <c r="G1545" s="3">
        <v>0</v>
      </c>
      <c r="H1545" t="s">
        <v>53</v>
      </c>
      <c r="I1545" t="s">
        <v>27</v>
      </c>
      <c r="J1545" t="s">
        <v>21</v>
      </c>
    </row>
    <row r="1546" spans="1:10" x14ac:dyDescent="0.45">
      <c r="A1546" t="s">
        <v>2083</v>
      </c>
      <c r="B1546" s="2">
        <v>46126</v>
      </c>
      <c r="C1546" t="s">
        <v>187</v>
      </c>
      <c r="D1546" t="s">
        <v>164</v>
      </c>
      <c r="E1546" t="s">
        <v>140</v>
      </c>
      <c r="F1546">
        <v>1</v>
      </c>
      <c r="G1546" s="3">
        <v>0.2</v>
      </c>
      <c r="H1546" t="s">
        <v>14</v>
      </c>
      <c r="I1546" t="s">
        <v>54</v>
      </c>
      <c r="J1546" t="s">
        <v>21</v>
      </c>
    </row>
    <row r="1547" spans="1:10" x14ac:dyDescent="0.45">
      <c r="A1547" t="s">
        <v>2084</v>
      </c>
      <c r="B1547" s="2">
        <v>46057</v>
      </c>
      <c r="C1547" t="s">
        <v>2085</v>
      </c>
      <c r="D1547" t="s">
        <v>380</v>
      </c>
      <c r="E1547" t="s">
        <v>85</v>
      </c>
      <c r="F1547">
        <v>8</v>
      </c>
      <c r="G1547" s="3">
        <v>0.05</v>
      </c>
      <c r="H1547" t="s">
        <v>14</v>
      </c>
      <c r="I1547" t="s">
        <v>54</v>
      </c>
      <c r="J1547" t="s">
        <v>21</v>
      </c>
    </row>
    <row r="1548" spans="1:10" x14ac:dyDescent="0.45">
      <c r="A1548" t="s">
        <v>2086</v>
      </c>
      <c r="B1548" s="2">
        <v>46047</v>
      </c>
      <c r="C1548" t="s">
        <v>1014</v>
      </c>
      <c r="D1548" t="s">
        <v>62</v>
      </c>
      <c r="E1548" t="s">
        <v>152</v>
      </c>
      <c r="F1548">
        <v>2</v>
      </c>
      <c r="G1548" s="3">
        <v>0</v>
      </c>
      <c r="H1548" t="s">
        <v>53</v>
      </c>
      <c r="I1548" t="s">
        <v>15</v>
      </c>
      <c r="J1548" t="s">
        <v>21</v>
      </c>
    </row>
    <row r="1549" spans="1:10" x14ac:dyDescent="0.45">
      <c r="A1549" t="s">
        <v>2087</v>
      </c>
      <c r="B1549" s="2">
        <v>45811</v>
      </c>
      <c r="C1549" t="s">
        <v>232</v>
      </c>
      <c r="D1549" t="s">
        <v>365</v>
      </c>
      <c r="E1549" t="s">
        <v>136</v>
      </c>
      <c r="F1549">
        <v>10</v>
      </c>
      <c r="G1549" s="3">
        <v>0.15</v>
      </c>
      <c r="H1549" t="s">
        <v>14</v>
      </c>
      <c r="I1549" t="s">
        <v>54</v>
      </c>
      <c r="J1549" t="s">
        <v>16</v>
      </c>
    </row>
    <row r="1550" spans="1:10" x14ac:dyDescent="0.45">
      <c r="A1550" t="s">
        <v>2088</v>
      </c>
      <c r="B1550" s="2">
        <v>45858</v>
      </c>
      <c r="C1550" t="s">
        <v>876</v>
      </c>
      <c r="D1550" t="s">
        <v>88</v>
      </c>
      <c r="E1550" t="s">
        <v>140</v>
      </c>
      <c r="F1550">
        <v>8</v>
      </c>
      <c r="G1550" s="3">
        <v>0</v>
      </c>
      <c r="H1550" t="s">
        <v>53</v>
      </c>
      <c r="I1550" t="s">
        <v>27</v>
      </c>
      <c r="J1550" t="s">
        <v>59</v>
      </c>
    </row>
    <row r="1551" spans="1:10" x14ac:dyDescent="0.45">
      <c r="A1551" t="s">
        <v>2089</v>
      </c>
      <c r="B1551" s="2">
        <v>45848</v>
      </c>
      <c r="C1551" t="s">
        <v>1147</v>
      </c>
      <c r="D1551" t="s">
        <v>380</v>
      </c>
      <c r="E1551" t="s">
        <v>25</v>
      </c>
      <c r="F1551">
        <v>11</v>
      </c>
      <c r="G1551" s="3">
        <v>0.05</v>
      </c>
      <c r="H1551" t="s">
        <v>14</v>
      </c>
      <c r="I1551" t="s">
        <v>27</v>
      </c>
      <c r="J1551" t="s">
        <v>36</v>
      </c>
    </row>
    <row r="1552" spans="1:10" x14ac:dyDescent="0.45">
      <c r="A1552" t="s">
        <v>2090</v>
      </c>
      <c r="B1552" s="2">
        <v>46057</v>
      </c>
      <c r="C1552" t="s">
        <v>533</v>
      </c>
      <c r="D1552" t="s">
        <v>202</v>
      </c>
      <c r="E1552" t="s">
        <v>40</v>
      </c>
      <c r="F1552">
        <v>7</v>
      </c>
      <c r="G1552" s="3">
        <v>0.1</v>
      </c>
      <c r="H1552" t="s">
        <v>53</v>
      </c>
      <c r="I1552" t="s">
        <v>48</v>
      </c>
      <c r="J1552" t="s">
        <v>21</v>
      </c>
    </row>
    <row r="1553" spans="1:10" x14ac:dyDescent="0.45">
      <c r="A1553" t="s">
        <v>2091</v>
      </c>
      <c r="B1553" s="2">
        <v>45838</v>
      </c>
      <c r="C1553" t="s">
        <v>1032</v>
      </c>
      <c r="D1553" t="s">
        <v>179</v>
      </c>
      <c r="E1553" t="s">
        <v>152</v>
      </c>
      <c r="F1553">
        <v>12</v>
      </c>
      <c r="G1553" s="3">
        <v>0.1</v>
      </c>
      <c r="H1553" t="s">
        <v>53</v>
      </c>
      <c r="I1553" t="s">
        <v>27</v>
      </c>
      <c r="J1553" t="s">
        <v>21</v>
      </c>
    </row>
    <row r="1554" spans="1:10" x14ac:dyDescent="0.45">
      <c r="A1554" t="s">
        <v>2092</v>
      </c>
      <c r="B1554" s="2">
        <v>46061</v>
      </c>
      <c r="C1554" t="s">
        <v>1128</v>
      </c>
      <c r="D1554" t="s">
        <v>318</v>
      </c>
      <c r="E1554" t="s">
        <v>85</v>
      </c>
      <c r="F1554">
        <v>4</v>
      </c>
      <c r="G1554" s="3">
        <v>0.03</v>
      </c>
      <c r="H1554" t="s">
        <v>14</v>
      </c>
      <c r="I1554" t="s">
        <v>27</v>
      </c>
      <c r="J1554" t="s">
        <v>21</v>
      </c>
    </row>
    <row r="1555" spans="1:10" x14ac:dyDescent="0.45">
      <c r="A1555" t="s">
        <v>2093</v>
      </c>
      <c r="B1555" s="2">
        <v>46203</v>
      </c>
      <c r="C1555" t="s">
        <v>1131</v>
      </c>
      <c r="D1555" t="s">
        <v>182</v>
      </c>
      <c r="E1555" t="s">
        <v>20</v>
      </c>
      <c r="F1555">
        <v>12</v>
      </c>
      <c r="G1555" s="3">
        <v>0.08</v>
      </c>
      <c r="H1555" t="s">
        <v>53</v>
      </c>
      <c r="I1555" t="s">
        <v>54</v>
      </c>
      <c r="J1555" t="s">
        <v>36</v>
      </c>
    </row>
    <row r="1556" spans="1:10" x14ac:dyDescent="0.45">
      <c r="A1556" t="s">
        <v>2094</v>
      </c>
      <c r="B1556" s="2">
        <v>45763</v>
      </c>
      <c r="C1556" t="s">
        <v>947</v>
      </c>
      <c r="D1556" t="s">
        <v>164</v>
      </c>
      <c r="E1556" t="s">
        <v>197</v>
      </c>
      <c r="F1556">
        <v>6</v>
      </c>
      <c r="G1556" s="3">
        <v>0.15</v>
      </c>
      <c r="H1556" t="s">
        <v>14</v>
      </c>
      <c r="I1556" t="s">
        <v>48</v>
      </c>
      <c r="J1556" t="s">
        <v>59</v>
      </c>
    </row>
    <row r="1557" spans="1:10" x14ac:dyDescent="0.45">
      <c r="A1557" t="s">
        <v>2095</v>
      </c>
      <c r="B1557" s="2">
        <v>46003</v>
      </c>
      <c r="C1557" t="s">
        <v>725</v>
      </c>
      <c r="D1557" t="s">
        <v>439</v>
      </c>
      <c r="E1557" t="s">
        <v>52</v>
      </c>
      <c r="F1557">
        <v>12</v>
      </c>
      <c r="G1557" s="3">
        <v>0.2</v>
      </c>
      <c r="H1557" t="s">
        <v>14</v>
      </c>
      <c r="I1557" t="s">
        <v>27</v>
      </c>
      <c r="J1557" t="s">
        <v>21</v>
      </c>
    </row>
    <row r="1558" spans="1:10" x14ac:dyDescent="0.45">
      <c r="A1558" t="s">
        <v>2096</v>
      </c>
      <c r="B1558" s="2">
        <v>45884</v>
      </c>
      <c r="C1558" t="s">
        <v>150</v>
      </c>
      <c r="D1558" t="s">
        <v>179</v>
      </c>
      <c r="E1558" t="s">
        <v>136</v>
      </c>
      <c r="F1558">
        <v>12</v>
      </c>
      <c r="G1558" s="3">
        <v>0.05</v>
      </c>
      <c r="H1558" t="s">
        <v>14</v>
      </c>
      <c r="I1558" t="s">
        <v>27</v>
      </c>
      <c r="J1558" t="s">
        <v>21</v>
      </c>
    </row>
    <row r="1559" spans="1:10" x14ac:dyDescent="0.45">
      <c r="A1559" t="s">
        <v>2097</v>
      </c>
      <c r="B1559" s="2">
        <v>46058</v>
      </c>
      <c r="C1559" t="s">
        <v>229</v>
      </c>
      <c r="D1559" t="s">
        <v>12</v>
      </c>
      <c r="E1559" t="s">
        <v>52</v>
      </c>
      <c r="F1559">
        <v>6</v>
      </c>
      <c r="G1559" s="3">
        <v>0.1</v>
      </c>
      <c r="H1559" t="s">
        <v>14</v>
      </c>
      <c r="I1559" t="s">
        <v>15</v>
      </c>
      <c r="J1559" t="s">
        <v>21</v>
      </c>
    </row>
    <row r="1560" spans="1:10" x14ac:dyDescent="0.45">
      <c r="A1560" t="s">
        <v>2098</v>
      </c>
      <c r="B1560" s="2">
        <v>45674</v>
      </c>
      <c r="C1560" t="s">
        <v>1271</v>
      </c>
      <c r="D1560" t="s">
        <v>502</v>
      </c>
      <c r="E1560" t="s">
        <v>281</v>
      </c>
      <c r="F1560">
        <v>10</v>
      </c>
      <c r="G1560" s="3">
        <v>0.1</v>
      </c>
      <c r="H1560" t="s">
        <v>53</v>
      </c>
      <c r="I1560" t="s">
        <v>27</v>
      </c>
      <c r="J1560" t="s">
        <v>16</v>
      </c>
    </row>
    <row r="1561" spans="1:10" x14ac:dyDescent="0.45">
      <c r="A1561" t="s">
        <v>2099</v>
      </c>
      <c r="B1561" s="2">
        <v>45971</v>
      </c>
      <c r="C1561" t="s">
        <v>42</v>
      </c>
      <c r="D1561" t="s">
        <v>256</v>
      </c>
      <c r="E1561" t="s">
        <v>115</v>
      </c>
      <c r="F1561">
        <v>11</v>
      </c>
      <c r="G1561" s="3">
        <v>0</v>
      </c>
      <c r="H1561" t="s">
        <v>53</v>
      </c>
      <c r="I1561" t="s">
        <v>48</v>
      </c>
      <c r="J1561" t="s">
        <v>36</v>
      </c>
    </row>
    <row r="1562" spans="1:10" x14ac:dyDescent="0.45">
      <c r="A1562" t="s">
        <v>2100</v>
      </c>
      <c r="B1562" s="2">
        <v>46153</v>
      </c>
      <c r="C1562" t="s">
        <v>553</v>
      </c>
      <c r="D1562" t="s">
        <v>238</v>
      </c>
      <c r="E1562" t="s">
        <v>82</v>
      </c>
      <c r="F1562">
        <v>3</v>
      </c>
      <c r="G1562" s="3">
        <v>0</v>
      </c>
      <c r="H1562" t="s">
        <v>14</v>
      </c>
      <c r="I1562" t="s">
        <v>27</v>
      </c>
      <c r="J1562" t="s">
        <v>21</v>
      </c>
    </row>
    <row r="1563" spans="1:10" x14ac:dyDescent="0.45">
      <c r="A1563" t="s">
        <v>2101</v>
      </c>
      <c r="B1563" s="2">
        <v>46030</v>
      </c>
      <c r="C1563" t="s">
        <v>1144</v>
      </c>
      <c r="D1563" t="s">
        <v>51</v>
      </c>
      <c r="E1563" t="s">
        <v>127</v>
      </c>
      <c r="F1563">
        <v>4</v>
      </c>
      <c r="G1563" s="3">
        <v>0.15</v>
      </c>
      <c r="H1563" t="s">
        <v>14</v>
      </c>
      <c r="I1563" t="s">
        <v>27</v>
      </c>
      <c r="J1563" t="s">
        <v>21</v>
      </c>
    </row>
    <row r="1564" spans="1:10" x14ac:dyDescent="0.45">
      <c r="A1564" t="s">
        <v>2102</v>
      </c>
      <c r="B1564" s="2">
        <v>45865</v>
      </c>
      <c r="C1564" t="s">
        <v>184</v>
      </c>
      <c r="D1564" t="s">
        <v>135</v>
      </c>
      <c r="E1564" t="s">
        <v>281</v>
      </c>
      <c r="F1564">
        <v>2</v>
      </c>
      <c r="G1564" s="3">
        <v>0.05</v>
      </c>
      <c r="H1564" t="s">
        <v>53</v>
      </c>
      <c r="I1564" t="s">
        <v>27</v>
      </c>
      <c r="J1564" t="s">
        <v>21</v>
      </c>
    </row>
    <row r="1565" spans="1:10" x14ac:dyDescent="0.45">
      <c r="A1565" t="s">
        <v>2103</v>
      </c>
      <c r="B1565" s="2">
        <v>46195</v>
      </c>
      <c r="C1565" t="s">
        <v>1112</v>
      </c>
      <c r="D1565" t="s">
        <v>230</v>
      </c>
      <c r="E1565" t="s">
        <v>47</v>
      </c>
      <c r="F1565">
        <v>2</v>
      </c>
      <c r="G1565" s="3">
        <v>0.05</v>
      </c>
      <c r="H1565" t="s">
        <v>53</v>
      </c>
      <c r="I1565" t="s">
        <v>15</v>
      </c>
      <c r="J1565" t="s">
        <v>36</v>
      </c>
    </row>
    <row r="1566" spans="1:10" x14ac:dyDescent="0.45">
      <c r="A1566" t="s">
        <v>2104</v>
      </c>
      <c r="B1566" s="2">
        <v>45930</v>
      </c>
      <c r="C1566" t="s">
        <v>1086</v>
      </c>
      <c r="D1566" t="s">
        <v>217</v>
      </c>
      <c r="E1566" t="s">
        <v>82</v>
      </c>
      <c r="F1566">
        <v>3</v>
      </c>
      <c r="G1566" s="3">
        <v>0</v>
      </c>
      <c r="H1566" t="s">
        <v>14</v>
      </c>
      <c r="I1566" t="s">
        <v>48</v>
      </c>
      <c r="J1566" t="s">
        <v>21</v>
      </c>
    </row>
    <row r="1567" spans="1:10" x14ac:dyDescent="0.45">
      <c r="A1567" t="s">
        <v>2105</v>
      </c>
      <c r="B1567" s="2">
        <v>46050</v>
      </c>
      <c r="C1567" t="s">
        <v>2106</v>
      </c>
      <c r="D1567" t="s">
        <v>185</v>
      </c>
      <c r="E1567" t="s">
        <v>85</v>
      </c>
      <c r="F1567">
        <v>10</v>
      </c>
      <c r="G1567" s="3">
        <v>0</v>
      </c>
      <c r="H1567" t="s">
        <v>53</v>
      </c>
      <c r="I1567" t="s">
        <v>15</v>
      </c>
      <c r="J1567" t="s">
        <v>21</v>
      </c>
    </row>
    <row r="1568" spans="1:10" x14ac:dyDescent="0.45">
      <c r="A1568" t="s">
        <v>2107</v>
      </c>
      <c r="B1568" s="2">
        <v>46147</v>
      </c>
      <c r="C1568" t="s">
        <v>1095</v>
      </c>
      <c r="D1568" t="s">
        <v>91</v>
      </c>
      <c r="E1568" t="s">
        <v>40</v>
      </c>
      <c r="F1568">
        <v>1</v>
      </c>
      <c r="G1568" s="3">
        <v>0.08</v>
      </c>
      <c r="H1568" t="s">
        <v>14</v>
      </c>
      <c r="I1568" t="s">
        <v>54</v>
      </c>
      <c r="J1568" t="s">
        <v>16</v>
      </c>
    </row>
    <row r="1569" spans="1:10" x14ac:dyDescent="0.45">
      <c r="A1569" t="s">
        <v>2108</v>
      </c>
      <c r="B1569" s="2">
        <v>46014</v>
      </c>
      <c r="C1569" t="s">
        <v>823</v>
      </c>
      <c r="D1569" t="s">
        <v>502</v>
      </c>
      <c r="E1569" t="s">
        <v>40</v>
      </c>
      <c r="F1569">
        <v>7</v>
      </c>
      <c r="G1569" s="3">
        <v>0.03</v>
      </c>
      <c r="H1569" t="s">
        <v>53</v>
      </c>
      <c r="I1569" t="s">
        <v>27</v>
      </c>
      <c r="J1569" t="s">
        <v>21</v>
      </c>
    </row>
    <row r="1570" spans="1:10" x14ac:dyDescent="0.45">
      <c r="A1570" t="s">
        <v>2109</v>
      </c>
      <c r="B1570" s="2">
        <v>45717</v>
      </c>
      <c r="C1570" t="s">
        <v>989</v>
      </c>
      <c r="D1570" t="s">
        <v>295</v>
      </c>
      <c r="E1570" t="s">
        <v>13</v>
      </c>
      <c r="F1570">
        <v>6</v>
      </c>
      <c r="G1570" s="3">
        <v>0.15</v>
      </c>
      <c r="H1570" t="s">
        <v>53</v>
      </c>
      <c r="I1570" t="s">
        <v>15</v>
      </c>
      <c r="J1570" t="s">
        <v>21</v>
      </c>
    </row>
    <row r="1571" spans="1:10" x14ac:dyDescent="0.45">
      <c r="A1571" t="s">
        <v>2110</v>
      </c>
      <c r="B1571" s="2">
        <v>45799</v>
      </c>
      <c r="C1571" t="s">
        <v>1151</v>
      </c>
      <c r="D1571" t="s">
        <v>391</v>
      </c>
      <c r="E1571" t="s">
        <v>144</v>
      </c>
      <c r="F1571">
        <v>8</v>
      </c>
      <c r="G1571" s="3">
        <v>0.1</v>
      </c>
      <c r="H1571" t="s">
        <v>14</v>
      </c>
      <c r="I1571" t="s">
        <v>27</v>
      </c>
      <c r="J1571" t="s">
        <v>21</v>
      </c>
    </row>
    <row r="1572" spans="1:10" x14ac:dyDescent="0.45">
      <c r="A1572" t="s">
        <v>2111</v>
      </c>
      <c r="B1572" s="2">
        <v>46030</v>
      </c>
      <c r="C1572" t="s">
        <v>480</v>
      </c>
      <c r="D1572" t="s">
        <v>191</v>
      </c>
      <c r="E1572" t="s">
        <v>13</v>
      </c>
      <c r="F1572">
        <v>6</v>
      </c>
      <c r="G1572" s="3">
        <v>0.08</v>
      </c>
      <c r="H1572" t="s">
        <v>14</v>
      </c>
      <c r="I1572" t="s">
        <v>54</v>
      </c>
      <c r="J1572" t="s">
        <v>21</v>
      </c>
    </row>
    <row r="1573" spans="1:10" x14ac:dyDescent="0.45">
      <c r="A1573" t="s">
        <v>2112</v>
      </c>
      <c r="B1573" s="2">
        <v>46096</v>
      </c>
      <c r="C1573" t="s">
        <v>1415</v>
      </c>
      <c r="D1573" t="s">
        <v>155</v>
      </c>
      <c r="E1573" t="s">
        <v>127</v>
      </c>
      <c r="F1573">
        <v>6</v>
      </c>
      <c r="G1573" s="3">
        <v>0</v>
      </c>
      <c r="H1573" t="s">
        <v>14</v>
      </c>
      <c r="I1573" t="s">
        <v>48</v>
      </c>
      <c r="J1573" t="s">
        <v>36</v>
      </c>
    </row>
    <row r="1574" spans="1:10" x14ac:dyDescent="0.45">
      <c r="A1574" t="s">
        <v>2113</v>
      </c>
      <c r="B1574" s="2">
        <v>46039</v>
      </c>
      <c r="C1574" t="s">
        <v>445</v>
      </c>
      <c r="D1574" t="s">
        <v>246</v>
      </c>
      <c r="E1574" t="s">
        <v>101</v>
      </c>
      <c r="F1574">
        <v>11</v>
      </c>
      <c r="G1574" s="3">
        <v>0.05</v>
      </c>
      <c r="H1574" t="s">
        <v>14</v>
      </c>
      <c r="I1574" t="s">
        <v>54</v>
      </c>
      <c r="J1574" t="s">
        <v>21</v>
      </c>
    </row>
    <row r="1575" spans="1:10" x14ac:dyDescent="0.45">
      <c r="A1575" t="s">
        <v>2114</v>
      </c>
      <c r="B1575" s="2">
        <v>45776</v>
      </c>
      <c r="C1575" t="s">
        <v>488</v>
      </c>
      <c r="D1575" t="s">
        <v>91</v>
      </c>
      <c r="E1575" t="s">
        <v>25</v>
      </c>
      <c r="F1575">
        <v>6</v>
      </c>
      <c r="G1575" s="3">
        <v>0.1</v>
      </c>
      <c r="H1575" t="s">
        <v>14</v>
      </c>
      <c r="I1575" t="s">
        <v>48</v>
      </c>
      <c r="J1575" t="s">
        <v>21</v>
      </c>
    </row>
    <row r="1576" spans="1:10" x14ac:dyDescent="0.45">
      <c r="A1576" t="s">
        <v>2115</v>
      </c>
      <c r="B1576" s="2">
        <v>45866</v>
      </c>
      <c r="C1576" t="s">
        <v>326</v>
      </c>
      <c r="D1576" t="s">
        <v>51</v>
      </c>
      <c r="E1576" t="s">
        <v>140</v>
      </c>
      <c r="F1576">
        <v>11</v>
      </c>
      <c r="G1576" s="3">
        <v>0.15</v>
      </c>
      <c r="H1576" t="s">
        <v>14</v>
      </c>
      <c r="I1576" t="s">
        <v>54</v>
      </c>
      <c r="J1576" t="s">
        <v>59</v>
      </c>
    </row>
    <row r="1577" spans="1:10" x14ac:dyDescent="0.45">
      <c r="A1577" t="s">
        <v>2116</v>
      </c>
      <c r="B1577" s="2">
        <v>46190</v>
      </c>
      <c r="C1577" t="s">
        <v>653</v>
      </c>
      <c r="D1577" t="s">
        <v>391</v>
      </c>
      <c r="E1577" t="s">
        <v>101</v>
      </c>
      <c r="F1577">
        <v>9</v>
      </c>
      <c r="G1577" s="3">
        <v>0.15</v>
      </c>
      <c r="H1577" t="s">
        <v>14</v>
      </c>
      <c r="I1577" t="s">
        <v>15</v>
      </c>
      <c r="J1577" t="s">
        <v>21</v>
      </c>
    </row>
    <row r="1578" spans="1:10" x14ac:dyDescent="0.45">
      <c r="A1578" t="s">
        <v>2117</v>
      </c>
      <c r="B1578" s="2">
        <v>46117</v>
      </c>
      <c r="C1578" t="s">
        <v>303</v>
      </c>
      <c r="D1578" t="s">
        <v>614</v>
      </c>
      <c r="E1578" t="s">
        <v>13</v>
      </c>
      <c r="F1578">
        <v>11</v>
      </c>
      <c r="G1578" s="3">
        <v>0.2</v>
      </c>
      <c r="H1578" t="s">
        <v>53</v>
      </c>
      <c r="I1578" t="s">
        <v>27</v>
      </c>
      <c r="J1578" t="s">
        <v>21</v>
      </c>
    </row>
    <row r="1579" spans="1:10" x14ac:dyDescent="0.45">
      <c r="A1579" t="s">
        <v>2118</v>
      </c>
      <c r="B1579" s="2">
        <v>46033</v>
      </c>
      <c r="C1579" t="s">
        <v>398</v>
      </c>
      <c r="D1579" t="s">
        <v>256</v>
      </c>
      <c r="E1579" t="s">
        <v>225</v>
      </c>
      <c r="F1579">
        <v>9</v>
      </c>
      <c r="G1579" s="3">
        <v>0.03</v>
      </c>
      <c r="H1579" t="s">
        <v>26</v>
      </c>
      <c r="I1579" t="s">
        <v>27</v>
      </c>
      <c r="J1579" t="s">
        <v>21</v>
      </c>
    </row>
    <row r="1580" spans="1:10" x14ac:dyDescent="0.45">
      <c r="A1580" t="s">
        <v>2119</v>
      </c>
      <c r="B1580" s="2">
        <v>45835</v>
      </c>
      <c r="C1580" t="s">
        <v>573</v>
      </c>
      <c r="D1580" t="s">
        <v>404</v>
      </c>
      <c r="E1580" t="s">
        <v>115</v>
      </c>
      <c r="F1580">
        <v>12</v>
      </c>
      <c r="G1580" s="3">
        <v>0</v>
      </c>
      <c r="H1580" t="s">
        <v>53</v>
      </c>
      <c r="I1580" t="s">
        <v>54</v>
      </c>
      <c r="J1580" t="s">
        <v>16</v>
      </c>
    </row>
    <row r="1581" spans="1:10" x14ac:dyDescent="0.45">
      <c r="A1581" t="s">
        <v>2120</v>
      </c>
      <c r="B1581" s="2">
        <v>45804</v>
      </c>
      <c r="C1581" t="s">
        <v>1022</v>
      </c>
      <c r="D1581" t="s">
        <v>430</v>
      </c>
      <c r="E1581" t="s">
        <v>82</v>
      </c>
      <c r="F1581">
        <v>11</v>
      </c>
      <c r="G1581" s="3">
        <v>0</v>
      </c>
      <c r="H1581" t="s">
        <v>53</v>
      </c>
      <c r="I1581" t="s">
        <v>48</v>
      </c>
      <c r="J1581" t="s">
        <v>21</v>
      </c>
    </row>
    <row r="1582" spans="1:10" x14ac:dyDescent="0.45">
      <c r="A1582" t="s">
        <v>2121</v>
      </c>
      <c r="B1582" s="2">
        <v>46190</v>
      </c>
      <c r="C1582" t="s">
        <v>1108</v>
      </c>
      <c r="D1582" t="s">
        <v>110</v>
      </c>
      <c r="E1582" t="s">
        <v>127</v>
      </c>
      <c r="F1582">
        <v>4</v>
      </c>
      <c r="G1582" s="3">
        <v>0.15</v>
      </c>
      <c r="H1582" t="s">
        <v>14</v>
      </c>
      <c r="I1582" t="s">
        <v>54</v>
      </c>
      <c r="J1582" t="s">
        <v>21</v>
      </c>
    </row>
    <row r="1583" spans="1:10" x14ac:dyDescent="0.45">
      <c r="A1583" t="s">
        <v>2122</v>
      </c>
      <c r="B1583" s="2">
        <v>45682</v>
      </c>
      <c r="C1583" t="s">
        <v>622</v>
      </c>
      <c r="D1583" t="s">
        <v>449</v>
      </c>
      <c r="E1583" t="s">
        <v>58</v>
      </c>
      <c r="F1583">
        <v>9</v>
      </c>
      <c r="G1583" s="3">
        <v>0.03</v>
      </c>
      <c r="H1583" t="s">
        <v>53</v>
      </c>
      <c r="I1583" t="s">
        <v>15</v>
      </c>
      <c r="J1583" t="s">
        <v>21</v>
      </c>
    </row>
    <row r="1584" spans="1:10" x14ac:dyDescent="0.45">
      <c r="A1584" t="s">
        <v>2123</v>
      </c>
      <c r="B1584" s="2">
        <v>45843</v>
      </c>
      <c r="C1584" t="s">
        <v>833</v>
      </c>
      <c r="D1584" t="s">
        <v>75</v>
      </c>
      <c r="E1584" t="s">
        <v>144</v>
      </c>
      <c r="F1584">
        <v>6</v>
      </c>
      <c r="G1584" s="3">
        <v>0.2</v>
      </c>
      <c r="H1584" t="s">
        <v>14</v>
      </c>
      <c r="I1584" t="s">
        <v>27</v>
      </c>
      <c r="J1584" t="s">
        <v>59</v>
      </c>
    </row>
    <row r="1585" spans="1:10" x14ac:dyDescent="0.45">
      <c r="A1585" t="s">
        <v>2124</v>
      </c>
      <c r="B1585" s="2">
        <v>45930</v>
      </c>
      <c r="C1585" t="s">
        <v>1576</v>
      </c>
      <c r="D1585" t="s">
        <v>502</v>
      </c>
      <c r="E1585" t="s">
        <v>25</v>
      </c>
      <c r="F1585">
        <v>8</v>
      </c>
      <c r="G1585" s="3">
        <v>0.03</v>
      </c>
      <c r="H1585" t="s">
        <v>14</v>
      </c>
      <c r="I1585" t="s">
        <v>48</v>
      </c>
      <c r="J1585" t="s">
        <v>21</v>
      </c>
    </row>
    <row r="1586" spans="1:10" x14ac:dyDescent="0.45">
      <c r="A1586" t="s">
        <v>2125</v>
      </c>
      <c r="B1586" s="2">
        <v>46122</v>
      </c>
      <c r="C1586" t="s">
        <v>783</v>
      </c>
      <c r="D1586" t="s">
        <v>46</v>
      </c>
      <c r="E1586" t="s">
        <v>140</v>
      </c>
      <c r="F1586">
        <v>7</v>
      </c>
      <c r="G1586" s="3">
        <v>0.05</v>
      </c>
      <c r="H1586" t="s">
        <v>53</v>
      </c>
      <c r="I1586" t="s">
        <v>15</v>
      </c>
      <c r="J1586" t="s">
        <v>21</v>
      </c>
    </row>
    <row r="1587" spans="1:10" x14ac:dyDescent="0.45">
      <c r="A1587" t="s">
        <v>2126</v>
      </c>
      <c r="B1587" s="2">
        <v>46138</v>
      </c>
      <c r="C1587" t="s">
        <v>828</v>
      </c>
      <c r="D1587" t="s">
        <v>500</v>
      </c>
      <c r="E1587" t="s">
        <v>31</v>
      </c>
      <c r="F1587">
        <v>3</v>
      </c>
      <c r="G1587" s="3">
        <v>0</v>
      </c>
      <c r="H1587" t="s">
        <v>14</v>
      </c>
      <c r="I1587" t="s">
        <v>54</v>
      </c>
      <c r="J1587" t="s">
        <v>21</v>
      </c>
    </row>
    <row r="1588" spans="1:10" x14ac:dyDescent="0.45">
      <c r="A1588" t="s">
        <v>2127</v>
      </c>
      <c r="B1588" s="2">
        <v>45848</v>
      </c>
      <c r="C1588" t="s">
        <v>767</v>
      </c>
      <c r="D1588" t="s">
        <v>130</v>
      </c>
      <c r="E1588" t="s">
        <v>197</v>
      </c>
      <c r="F1588">
        <v>1</v>
      </c>
      <c r="G1588" s="3">
        <v>0.1</v>
      </c>
      <c r="H1588" t="s">
        <v>14</v>
      </c>
      <c r="I1588" t="s">
        <v>54</v>
      </c>
      <c r="J1588" t="s">
        <v>21</v>
      </c>
    </row>
    <row r="1589" spans="1:10" x14ac:dyDescent="0.45">
      <c r="A1589" t="s">
        <v>2128</v>
      </c>
      <c r="B1589" s="2">
        <v>46079</v>
      </c>
      <c r="C1589" t="s">
        <v>1200</v>
      </c>
      <c r="D1589" t="s">
        <v>34</v>
      </c>
      <c r="E1589" t="s">
        <v>115</v>
      </c>
      <c r="F1589">
        <v>3</v>
      </c>
      <c r="G1589" s="3">
        <v>0</v>
      </c>
      <c r="H1589" t="s">
        <v>53</v>
      </c>
      <c r="I1589" t="s">
        <v>27</v>
      </c>
      <c r="J1589" t="s">
        <v>21</v>
      </c>
    </row>
    <row r="1590" spans="1:10" x14ac:dyDescent="0.45">
      <c r="A1590" t="s">
        <v>2129</v>
      </c>
      <c r="B1590" s="2">
        <v>45968</v>
      </c>
      <c r="C1590" t="s">
        <v>120</v>
      </c>
      <c r="D1590" t="s">
        <v>39</v>
      </c>
      <c r="E1590" t="s">
        <v>25</v>
      </c>
      <c r="F1590">
        <v>4</v>
      </c>
      <c r="G1590" s="3">
        <v>0.03</v>
      </c>
      <c r="H1590" t="s">
        <v>14</v>
      </c>
      <c r="I1590" t="s">
        <v>54</v>
      </c>
      <c r="J1590" t="s">
        <v>21</v>
      </c>
    </row>
    <row r="1591" spans="1:10" x14ac:dyDescent="0.45">
      <c r="A1591" t="s">
        <v>2130</v>
      </c>
      <c r="B1591" s="2">
        <v>45866</v>
      </c>
      <c r="C1591" t="s">
        <v>61</v>
      </c>
      <c r="D1591" t="s">
        <v>410</v>
      </c>
      <c r="E1591" t="s">
        <v>197</v>
      </c>
      <c r="F1591">
        <v>6</v>
      </c>
      <c r="G1591" s="3">
        <v>0.08</v>
      </c>
      <c r="H1591" t="s">
        <v>14</v>
      </c>
      <c r="I1591" t="s">
        <v>48</v>
      </c>
      <c r="J1591" t="s">
        <v>21</v>
      </c>
    </row>
    <row r="1592" spans="1:10" x14ac:dyDescent="0.45">
      <c r="A1592" t="s">
        <v>2131</v>
      </c>
      <c r="B1592" s="2">
        <v>46162</v>
      </c>
      <c r="C1592" t="s">
        <v>1278</v>
      </c>
      <c r="D1592" t="s">
        <v>449</v>
      </c>
      <c r="E1592" t="s">
        <v>111</v>
      </c>
      <c r="F1592">
        <v>4</v>
      </c>
      <c r="G1592" s="3">
        <v>0.03</v>
      </c>
      <c r="H1592" t="s">
        <v>53</v>
      </c>
      <c r="I1592" t="s">
        <v>27</v>
      </c>
      <c r="J1592" t="s">
        <v>21</v>
      </c>
    </row>
    <row r="1593" spans="1:10" x14ac:dyDescent="0.45">
      <c r="A1593" t="s">
        <v>2132</v>
      </c>
      <c r="B1593" s="2">
        <v>45925</v>
      </c>
      <c r="C1593" t="s">
        <v>950</v>
      </c>
      <c r="D1593" t="s">
        <v>94</v>
      </c>
      <c r="E1593" t="s">
        <v>281</v>
      </c>
      <c r="F1593">
        <v>5</v>
      </c>
      <c r="G1593" s="3">
        <v>0.2</v>
      </c>
      <c r="H1593" t="s">
        <v>53</v>
      </c>
      <c r="I1593" t="s">
        <v>48</v>
      </c>
      <c r="J1593" t="s">
        <v>21</v>
      </c>
    </row>
    <row r="1594" spans="1:10" x14ac:dyDescent="0.45">
      <c r="A1594" t="s">
        <v>2133</v>
      </c>
      <c r="B1594" s="2">
        <v>46107</v>
      </c>
      <c r="C1594" t="s">
        <v>253</v>
      </c>
      <c r="D1594" t="s">
        <v>114</v>
      </c>
      <c r="E1594" t="s">
        <v>197</v>
      </c>
      <c r="F1594">
        <v>1</v>
      </c>
      <c r="G1594" s="3">
        <v>0.03</v>
      </c>
      <c r="H1594" t="s">
        <v>14</v>
      </c>
      <c r="I1594" t="s">
        <v>15</v>
      </c>
      <c r="J1594" t="s">
        <v>21</v>
      </c>
    </row>
    <row r="1595" spans="1:10" x14ac:dyDescent="0.45">
      <c r="A1595" t="s">
        <v>2134</v>
      </c>
      <c r="B1595" s="2">
        <v>46137</v>
      </c>
      <c r="C1595" t="s">
        <v>394</v>
      </c>
      <c r="D1595" t="s">
        <v>148</v>
      </c>
      <c r="E1595" t="s">
        <v>218</v>
      </c>
      <c r="F1595">
        <v>9</v>
      </c>
      <c r="G1595" s="3">
        <v>0.2</v>
      </c>
      <c r="H1595" t="s">
        <v>53</v>
      </c>
      <c r="I1595" t="s">
        <v>54</v>
      </c>
      <c r="J1595" t="s">
        <v>21</v>
      </c>
    </row>
    <row r="1596" spans="1:10" x14ac:dyDescent="0.45">
      <c r="A1596" t="s">
        <v>2135</v>
      </c>
      <c r="B1596" s="2">
        <v>46189</v>
      </c>
      <c r="C1596" t="s">
        <v>524</v>
      </c>
      <c r="D1596" t="s">
        <v>135</v>
      </c>
      <c r="E1596" t="s">
        <v>225</v>
      </c>
      <c r="F1596">
        <v>4</v>
      </c>
      <c r="G1596" s="3">
        <v>0.03</v>
      </c>
      <c r="H1596" t="s">
        <v>14</v>
      </c>
      <c r="I1596" t="s">
        <v>48</v>
      </c>
      <c r="J1596" t="s">
        <v>21</v>
      </c>
    </row>
    <row r="1597" spans="1:10" x14ac:dyDescent="0.45">
      <c r="A1597" t="s">
        <v>2136</v>
      </c>
      <c r="B1597" s="2">
        <v>45713</v>
      </c>
      <c r="C1597" t="s">
        <v>61</v>
      </c>
      <c r="D1597" t="s">
        <v>318</v>
      </c>
      <c r="E1597" t="s">
        <v>111</v>
      </c>
      <c r="F1597">
        <v>9</v>
      </c>
      <c r="G1597" s="3">
        <v>0.05</v>
      </c>
      <c r="H1597" t="s">
        <v>14</v>
      </c>
      <c r="I1597" t="s">
        <v>48</v>
      </c>
      <c r="J1597" t="s">
        <v>21</v>
      </c>
    </row>
    <row r="1598" spans="1:10" x14ac:dyDescent="0.45">
      <c r="A1598" t="s">
        <v>2137</v>
      </c>
      <c r="B1598" s="2">
        <v>46134</v>
      </c>
      <c r="C1598" t="s">
        <v>622</v>
      </c>
      <c r="D1598" t="s">
        <v>210</v>
      </c>
      <c r="E1598" t="s">
        <v>82</v>
      </c>
      <c r="F1598">
        <v>9</v>
      </c>
      <c r="G1598" s="3">
        <v>0.2</v>
      </c>
      <c r="H1598" t="s">
        <v>14</v>
      </c>
      <c r="I1598" t="s">
        <v>54</v>
      </c>
      <c r="J1598" t="s">
        <v>59</v>
      </c>
    </row>
    <row r="1599" spans="1:10" x14ac:dyDescent="0.45">
      <c r="A1599" t="s">
        <v>2138</v>
      </c>
      <c r="B1599" s="2">
        <v>46184</v>
      </c>
      <c r="C1599" t="s">
        <v>1024</v>
      </c>
      <c r="D1599" t="s">
        <v>139</v>
      </c>
      <c r="E1599" t="s">
        <v>20</v>
      </c>
      <c r="F1599">
        <v>6</v>
      </c>
      <c r="G1599" s="3">
        <v>0.03</v>
      </c>
      <c r="H1599" t="s">
        <v>14</v>
      </c>
      <c r="I1599" t="s">
        <v>15</v>
      </c>
      <c r="J1599" t="s">
        <v>36</v>
      </c>
    </row>
    <row r="1600" spans="1:10" x14ac:dyDescent="0.45">
      <c r="A1600" t="s">
        <v>2139</v>
      </c>
      <c r="B1600" s="2">
        <v>45675</v>
      </c>
      <c r="C1600" t="s">
        <v>2060</v>
      </c>
      <c r="D1600" t="s">
        <v>348</v>
      </c>
      <c r="E1600" t="s">
        <v>115</v>
      </c>
      <c r="F1600">
        <v>5</v>
      </c>
      <c r="G1600" s="3">
        <v>0.08</v>
      </c>
      <c r="H1600" t="s">
        <v>14</v>
      </c>
      <c r="I1600" t="s">
        <v>15</v>
      </c>
      <c r="J1600" t="s">
        <v>21</v>
      </c>
    </row>
    <row r="1601" spans="1:10" x14ac:dyDescent="0.45">
      <c r="A1601" t="s">
        <v>2140</v>
      </c>
      <c r="B1601" s="2">
        <v>45986</v>
      </c>
      <c r="C1601" t="s">
        <v>267</v>
      </c>
      <c r="D1601" t="s">
        <v>94</v>
      </c>
      <c r="E1601" t="s">
        <v>197</v>
      </c>
      <c r="F1601">
        <v>2</v>
      </c>
      <c r="G1601" s="3">
        <v>0.2</v>
      </c>
      <c r="H1601" t="s">
        <v>14</v>
      </c>
      <c r="I1601" t="s">
        <v>54</v>
      </c>
      <c r="J1601" t="s">
        <v>107</v>
      </c>
    </row>
  </sheetData>
  <autoFilter ref="A1:J160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DF74-EAFF-4FC2-9398-E7971EA53719}">
  <dimension ref="A1:K221"/>
  <sheetViews>
    <sheetView tabSelected="1" topLeftCell="A204" zoomScale="175" zoomScaleNormal="175" workbookViewId="0">
      <selection activeCell="C222" sqref="C222"/>
    </sheetView>
  </sheetViews>
  <sheetFormatPr defaultRowHeight="14.25" x14ac:dyDescent="0.45"/>
  <cols>
    <col min="2" max="3" width="9.9296875" bestFit="1" customWidth="1"/>
    <col min="5" max="5" width="9.73046875" bestFit="1" customWidth="1"/>
    <col min="6" max="6" width="17" customWidth="1"/>
    <col min="10" max="10" width="10.33203125" customWidth="1"/>
  </cols>
  <sheetData>
    <row r="1" spans="1:11" x14ac:dyDescent="0.45">
      <c r="A1" t="s">
        <v>2679</v>
      </c>
      <c r="B1" t="s">
        <v>2680</v>
      </c>
      <c r="C1" t="s">
        <v>2681</v>
      </c>
      <c r="D1" t="s">
        <v>2145</v>
      </c>
      <c r="F1" t="s">
        <v>5</v>
      </c>
      <c r="G1" t="s">
        <v>2690</v>
      </c>
    </row>
    <row r="2" spans="1:11" x14ac:dyDescent="0.45">
      <c r="A2">
        <v>123456</v>
      </c>
      <c r="B2" t="s">
        <v>2682</v>
      </c>
      <c r="C2">
        <v>12345496</v>
      </c>
      <c r="D2">
        <v>456</v>
      </c>
      <c r="F2">
        <v>5</v>
      </c>
      <c r="G2">
        <f>PRODUCT(D2,F2)</f>
        <v>2280</v>
      </c>
    </row>
    <row r="3" spans="1:11" x14ac:dyDescent="0.45">
      <c r="A3">
        <v>452396</v>
      </c>
      <c r="B3" t="s">
        <v>2683</v>
      </c>
      <c r="C3">
        <v>31238556</v>
      </c>
      <c r="D3">
        <v>420</v>
      </c>
      <c r="F3">
        <v>6</v>
      </c>
      <c r="G3">
        <f>PRODUCT(D3,F3)</f>
        <v>2520</v>
      </c>
    </row>
    <row r="4" spans="1:11" x14ac:dyDescent="0.45">
      <c r="A4">
        <v>4843210</v>
      </c>
      <c r="B4" t="s">
        <v>2684</v>
      </c>
      <c r="C4">
        <v>124565</v>
      </c>
      <c r="D4">
        <v>782</v>
      </c>
      <c r="F4">
        <v>8</v>
      </c>
      <c r="G4">
        <f>PRODUCT(D4,F4)</f>
        <v>6256</v>
      </c>
    </row>
    <row r="5" spans="1:11" x14ac:dyDescent="0.45">
      <c r="A5">
        <v>74842</v>
      </c>
      <c r="B5" t="s">
        <v>2685</v>
      </c>
      <c r="C5">
        <v>45646231</v>
      </c>
      <c r="D5">
        <v>852</v>
      </c>
      <c r="F5">
        <v>7</v>
      </c>
      <c r="G5">
        <f>PRODUCT(D5,F5)</f>
        <v>5964</v>
      </c>
    </row>
    <row r="6" spans="1:11" x14ac:dyDescent="0.45">
      <c r="H6" t="s">
        <v>2682</v>
      </c>
      <c r="I6" t="s">
        <v>2683</v>
      </c>
      <c r="J6" t="s">
        <v>2684</v>
      </c>
      <c r="K6" t="s">
        <v>2685</v>
      </c>
    </row>
    <row r="7" spans="1:11" x14ac:dyDescent="0.45">
      <c r="G7">
        <v>1</v>
      </c>
    </row>
    <row r="8" spans="1:11" x14ac:dyDescent="0.45">
      <c r="A8" t="s">
        <v>2686</v>
      </c>
      <c r="G8">
        <v>2</v>
      </c>
    </row>
    <row r="9" spans="1:11" x14ac:dyDescent="0.45">
      <c r="A9" t="s">
        <v>2687</v>
      </c>
      <c r="G9">
        <v>3</v>
      </c>
    </row>
    <row r="10" spans="1:11" x14ac:dyDescent="0.45">
      <c r="A10" t="s">
        <v>2688</v>
      </c>
      <c r="G10">
        <v>4</v>
      </c>
    </row>
    <row r="11" spans="1:11" x14ac:dyDescent="0.45">
      <c r="A11" t="s">
        <v>2689</v>
      </c>
      <c r="G11">
        <v>5</v>
      </c>
    </row>
    <row r="14" spans="1:11" x14ac:dyDescent="0.45">
      <c r="A14" s="6" t="s">
        <v>2687</v>
      </c>
    </row>
    <row r="15" spans="1:11" x14ac:dyDescent="0.45">
      <c r="A15" t="s">
        <v>2691</v>
      </c>
    </row>
    <row r="16" spans="1:11" x14ac:dyDescent="0.45">
      <c r="A16" t="s">
        <v>2692</v>
      </c>
    </row>
    <row r="17" spans="1:8" x14ac:dyDescent="0.45">
      <c r="C17" t="s">
        <v>2693</v>
      </c>
    </row>
    <row r="18" spans="1:8" x14ac:dyDescent="0.45">
      <c r="C18" t="s">
        <v>2694</v>
      </c>
    </row>
    <row r="19" spans="1:8" x14ac:dyDescent="0.45">
      <c r="C19" t="s">
        <v>2695</v>
      </c>
    </row>
    <row r="20" spans="1:8" x14ac:dyDescent="0.45">
      <c r="C20" t="s">
        <v>2696</v>
      </c>
    </row>
    <row r="21" spans="1:8" x14ac:dyDescent="0.45">
      <c r="C21" t="s">
        <v>2697</v>
      </c>
    </row>
    <row r="22" spans="1:8" x14ac:dyDescent="0.45">
      <c r="C22" t="s">
        <v>2698</v>
      </c>
    </row>
    <row r="23" spans="1:8" x14ac:dyDescent="0.45">
      <c r="C23" t="s">
        <v>2699</v>
      </c>
    </row>
    <row r="24" spans="1:8" x14ac:dyDescent="0.45">
      <c r="A24" s="6" t="s">
        <v>2700</v>
      </c>
    </row>
    <row r="25" spans="1:8" x14ac:dyDescent="0.45">
      <c r="A25" t="s">
        <v>2701</v>
      </c>
    </row>
    <row r="26" spans="1:8" x14ac:dyDescent="0.45">
      <c r="B26" t="s">
        <v>2705</v>
      </c>
      <c r="D26">
        <v>0.18</v>
      </c>
    </row>
    <row r="27" spans="1:8" x14ac:dyDescent="0.45">
      <c r="B27" t="s">
        <v>2702</v>
      </c>
      <c r="C27" t="s">
        <v>2703</v>
      </c>
      <c r="D27" t="s">
        <v>2704</v>
      </c>
    </row>
    <row r="28" spans="1:8" x14ac:dyDescent="0.45">
      <c r="C28">
        <v>0.18</v>
      </c>
      <c r="F28">
        <v>456</v>
      </c>
      <c r="G28">
        <v>785</v>
      </c>
      <c r="H28">
        <v>79</v>
      </c>
    </row>
    <row r="29" spans="1:8" x14ac:dyDescent="0.45">
      <c r="B29">
        <v>456</v>
      </c>
      <c r="C29">
        <v>0.12</v>
      </c>
      <c r="D29">
        <f>B29*$C$28</f>
        <v>82.08</v>
      </c>
      <c r="E29">
        <v>0.18</v>
      </c>
      <c r="F29">
        <v>0.12</v>
      </c>
      <c r="G29">
        <v>0.12</v>
      </c>
      <c r="H29">
        <v>0.24</v>
      </c>
    </row>
    <row r="30" spans="1:8" x14ac:dyDescent="0.45">
      <c r="B30">
        <v>785</v>
      </c>
      <c r="C30">
        <v>0.12</v>
      </c>
      <c r="D30">
        <f t="shared" ref="D30:D34" si="0">B30*$C$28</f>
        <v>141.29999999999998</v>
      </c>
      <c r="F30">
        <f>F28*$E29</f>
        <v>82.08</v>
      </c>
      <c r="G30">
        <f>G28*$E29</f>
        <v>141.29999999999998</v>
      </c>
      <c r="H30">
        <f>H28*$E29</f>
        <v>14.219999999999999</v>
      </c>
    </row>
    <row r="31" spans="1:8" x14ac:dyDescent="0.45">
      <c r="B31">
        <v>79</v>
      </c>
      <c r="C31">
        <v>0.24</v>
      </c>
      <c r="D31">
        <f t="shared" si="0"/>
        <v>14.219999999999999</v>
      </c>
    </row>
    <row r="32" spans="1:8" x14ac:dyDescent="0.45">
      <c r="B32">
        <v>782</v>
      </c>
      <c r="C32">
        <v>0.12</v>
      </c>
      <c r="D32">
        <f t="shared" si="0"/>
        <v>140.76</v>
      </c>
    </row>
    <row r="33" spans="2:4" x14ac:dyDescent="0.45">
      <c r="B33">
        <v>1325</v>
      </c>
      <c r="C33">
        <v>0.04</v>
      </c>
      <c r="D33">
        <f t="shared" si="0"/>
        <v>238.5</v>
      </c>
    </row>
    <row r="34" spans="2:4" x14ac:dyDescent="0.45">
      <c r="B34">
        <v>7855</v>
      </c>
      <c r="C34">
        <v>0.09</v>
      </c>
      <c r="D34">
        <f t="shared" si="0"/>
        <v>1413.8999999999999</v>
      </c>
    </row>
    <row r="36" spans="2:4" x14ac:dyDescent="0.45">
      <c r="B36" t="s">
        <v>2706</v>
      </c>
    </row>
    <row r="37" spans="2:4" x14ac:dyDescent="0.45">
      <c r="B37" t="s">
        <v>2707</v>
      </c>
    </row>
    <row r="38" spans="2:4" x14ac:dyDescent="0.45">
      <c r="B38" s="6" t="s">
        <v>2708</v>
      </c>
    </row>
    <row r="40" spans="2:4" x14ac:dyDescent="0.45">
      <c r="B40" t="s">
        <v>2709</v>
      </c>
    </row>
    <row r="41" spans="2:4" x14ac:dyDescent="0.45">
      <c r="B41" t="s">
        <v>2710</v>
      </c>
    </row>
    <row r="42" spans="2:4" x14ac:dyDescent="0.45">
      <c r="B42" t="s">
        <v>2711</v>
      </c>
    </row>
    <row r="43" spans="2:4" x14ac:dyDescent="0.45">
      <c r="B43" t="s">
        <v>2712</v>
      </c>
    </row>
    <row r="44" spans="2:4" x14ac:dyDescent="0.45">
      <c r="B44" t="s">
        <v>2713</v>
      </c>
    </row>
    <row r="45" spans="2:4" x14ac:dyDescent="0.45">
      <c r="B45" t="s">
        <v>2714</v>
      </c>
    </row>
    <row r="47" spans="2:4" x14ac:dyDescent="0.45">
      <c r="B47" s="6" t="s">
        <v>2715</v>
      </c>
    </row>
    <row r="48" spans="2:4" x14ac:dyDescent="0.45">
      <c r="B48" s="6" t="s">
        <v>2716</v>
      </c>
      <c r="C48" t="s">
        <v>2717</v>
      </c>
    </row>
    <row r="50" spans="2:10" x14ac:dyDescent="0.45">
      <c r="B50" s="9" t="s">
        <v>2718</v>
      </c>
      <c r="C50" s="9"/>
      <c r="D50" s="7" t="s">
        <v>2724</v>
      </c>
      <c r="E50" s="7"/>
      <c r="F50" s="7"/>
      <c r="G50" s="7"/>
      <c r="H50" s="7"/>
      <c r="I50" s="7"/>
      <c r="J50" s="7"/>
    </row>
    <row r="51" spans="2:10" x14ac:dyDescent="0.45">
      <c r="B51" s="9" t="s">
        <v>2719</v>
      </c>
      <c r="C51" s="9"/>
      <c r="D51" s="7" t="s">
        <v>2725</v>
      </c>
      <c r="E51" s="7"/>
      <c r="F51" s="7"/>
      <c r="G51" s="7"/>
      <c r="H51" s="7"/>
      <c r="I51" s="7"/>
      <c r="J51" s="7"/>
    </row>
    <row r="52" spans="2:10" x14ac:dyDescent="0.45">
      <c r="B52" s="9" t="s">
        <v>2720</v>
      </c>
      <c r="C52" s="9"/>
      <c r="D52" s="7" t="s">
        <v>2726</v>
      </c>
      <c r="E52" s="7"/>
      <c r="F52" s="7"/>
      <c r="G52" s="7"/>
      <c r="H52" s="7"/>
      <c r="I52" s="7"/>
      <c r="J52" s="7"/>
    </row>
    <row r="53" spans="2:10" x14ac:dyDescent="0.45">
      <c r="B53" s="9" t="s">
        <v>2721</v>
      </c>
      <c r="C53" s="9"/>
      <c r="D53" s="7" t="s">
        <v>2727</v>
      </c>
      <c r="E53" s="7"/>
      <c r="F53" s="7"/>
      <c r="G53" s="7"/>
      <c r="H53" s="7"/>
      <c r="I53" s="7"/>
      <c r="J53" s="7"/>
    </row>
    <row r="54" spans="2:10" x14ac:dyDescent="0.45">
      <c r="B54" s="9" t="s">
        <v>2722</v>
      </c>
      <c r="C54" s="9"/>
      <c r="D54" s="7" t="s">
        <v>2728</v>
      </c>
      <c r="E54" s="7"/>
      <c r="F54" s="7"/>
      <c r="G54" s="7"/>
      <c r="H54" s="7"/>
      <c r="I54" s="7"/>
      <c r="J54" s="7"/>
    </row>
    <row r="55" spans="2:10" x14ac:dyDescent="0.45">
      <c r="B55" s="8" t="s">
        <v>2723</v>
      </c>
      <c r="C55" s="8"/>
      <c r="D55" s="8"/>
      <c r="E55" s="7" t="s">
        <v>2729</v>
      </c>
      <c r="F55" s="7"/>
      <c r="G55" s="7"/>
      <c r="H55" s="7"/>
      <c r="I55" s="7"/>
      <c r="J55" s="7"/>
    </row>
    <row r="56" spans="2:10" x14ac:dyDescent="0.45">
      <c r="B56" s="7"/>
      <c r="C56" s="7"/>
      <c r="D56" s="7"/>
      <c r="E56" s="7" t="s">
        <v>2730</v>
      </c>
      <c r="F56" s="7"/>
      <c r="G56" s="7"/>
      <c r="H56" s="7"/>
      <c r="I56" s="7"/>
      <c r="J56" s="7"/>
    </row>
    <row r="57" spans="2:10" x14ac:dyDescent="0.45">
      <c r="C57" s="10" t="s">
        <v>2731</v>
      </c>
      <c r="D57" s="11" t="s">
        <v>2732</v>
      </c>
      <c r="E57" s="11"/>
      <c r="F57" s="11"/>
      <c r="G57" s="11"/>
    </row>
    <row r="58" spans="2:10" x14ac:dyDescent="0.45">
      <c r="C58" t="s">
        <v>2743</v>
      </c>
    </row>
    <row r="59" spans="2:10" x14ac:dyDescent="0.45">
      <c r="C59" t="s">
        <v>2744</v>
      </c>
    </row>
    <row r="60" spans="2:10" x14ac:dyDescent="0.45">
      <c r="B60" s="6" t="s">
        <v>2733</v>
      </c>
    </row>
    <row r="61" spans="2:10" x14ac:dyDescent="0.45">
      <c r="B61" t="s">
        <v>2734</v>
      </c>
    </row>
    <row r="62" spans="2:10" x14ac:dyDescent="0.45">
      <c r="B62" t="s">
        <v>2735</v>
      </c>
    </row>
    <row r="63" spans="2:10" x14ac:dyDescent="0.45">
      <c r="B63" t="s">
        <v>2736</v>
      </c>
    </row>
    <row r="64" spans="2:10" x14ac:dyDescent="0.45">
      <c r="B64" s="6" t="s">
        <v>2737</v>
      </c>
    </row>
    <row r="65" spans="2:2" x14ac:dyDescent="0.45">
      <c r="B65" t="s">
        <v>2738</v>
      </c>
    </row>
    <row r="67" spans="2:2" x14ac:dyDescent="0.45">
      <c r="B67" s="6" t="s">
        <v>2740</v>
      </c>
    </row>
    <row r="68" spans="2:2" x14ac:dyDescent="0.45">
      <c r="B68" t="str">
        <f>VLOOKUP("PRD-0053",Product_Master!$A$1:$J$81,2,FALSE)</f>
        <v>Standing Desk V3</v>
      </c>
    </row>
    <row r="71" spans="2:2" x14ac:dyDescent="0.45">
      <c r="B71" s="6" t="s">
        <v>2741</v>
      </c>
    </row>
    <row r="72" spans="2:2" x14ac:dyDescent="0.45">
      <c r="B72" s="6" t="s">
        <v>2742</v>
      </c>
    </row>
    <row r="73" spans="2:2" x14ac:dyDescent="0.45">
      <c r="B73" t="str">
        <f>VLOOKUP("EMP-021",Employee_Master!$A$1:$I$26,6,FALSE)</f>
        <v>Anjali Mehta</v>
      </c>
    </row>
    <row r="75" spans="2:2" x14ac:dyDescent="0.45">
      <c r="B75" s="6" t="s">
        <v>2745</v>
      </c>
    </row>
    <row r="76" spans="2:2" x14ac:dyDescent="0.45">
      <c r="B76" t="e">
        <f>VLOOKUP("Anjali Mehta",Employee_Master!A1:I26,1,FALSE)</f>
        <v>#N/A</v>
      </c>
    </row>
    <row r="78" spans="2:2" x14ac:dyDescent="0.45">
      <c r="B78" s="6" t="s">
        <v>2746</v>
      </c>
    </row>
    <row r="79" spans="2:2" x14ac:dyDescent="0.45">
      <c r="B79" t="s">
        <v>2747</v>
      </c>
    </row>
    <row r="80" spans="2:2" x14ac:dyDescent="0.45">
      <c r="B80" t="s">
        <v>2748</v>
      </c>
    </row>
    <row r="83" spans="2:10" x14ac:dyDescent="0.45">
      <c r="B83" s="6" t="s">
        <v>2749</v>
      </c>
    </row>
    <row r="84" spans="2:10" x14ac:dyDescent="0.45">
      <c r="B84" t="s">
        <v>2750</v>
      </c>
    </row>
    <row r="85" spans="2:10" x14ac:dyDescent="0.45">
      <c r="B85" t="s">
        <v>2751</v>
      </c>
    </row>
    <row r="86" spans="2:10" x14ac:dyDescent="0.45">
      <c r="B86" s="6" t="s">
        <v>2754</v>
      </c>
    </row>
    <row r="88" spans="2:10" x14ac:dyDescent="0.45">
      <c r="B88" t="s">
        <v>2752</v>
      </c>
    </row>
    <row r="89" spans="2:10" x14ac:dyDescent="0.45">
      <c r="B89" s="12" t="s">
        <v>97</v>
      </c>
      <c r="C89" s="12">
        <v>550000</v>
      </c>
      <c r="D89" s="12">
        <v>596000</v>
      </c>
      <c r="E89" s="12">
        <v>595000</v>
      </c>
      <c r="F89" s="12">
        <v>617000</v>
      </c>
      <c r="G89" s="12">
        <v>629000</v>
      </c>
      <c r="H89" s="12">
        <v>677000</v>
      </c>
      <c r="I89" s="12">
        <v>656000</v>
      </c>
      <c r="J89" s="12">
        <v>710000</v>
      </c>
    </row>
    <row r="90" spans="2:10" x14ac:dyDescent="0.45">
      <c r="B90" s="12" t="s">
        <v>35</v>
      </c>
      <c r="C90" s="12">
        <v>673000</v>
      </c>
      <c r="D90" s="12">
        <v>645000</v>
      </c>
      <c r="E90" s="12">
        <v>692000</v>
      </c>
      <c r="F90" s="12">
        <v>663000</v>
      </c>
      <c r="G90" s="12">
        <v>690000</v>
      </c>
      <c r="H90" s="12">
        <v>724000</v>
      </c>
      <c r="I90" s="12">
        <v>703000</v>
      </c>
      <c r="J90" s="12">
        <v>720000</v>
      </c>
    </row>
    <row r="91" spans="2:10" x14ac:dyDescent="0.45">
      <c r="B91" s="12" t="s">
        <v>127</v>
      </c>
      <c r="C91" s="12">
        <v>432000</v>
      </c>
      <c r="D91" s="12">
        <v>423000</v>
      </c>
      <c r="E91" s="12">
        <v>442000</v>
      </c>
      <c r="F91" s="12">
        <v>464000</v>
      </c>
      <c r="G91" s="12">
        <v>454000</v>
      </c>
      <c r="H91" s="12">
        <v>504000</v>
      </c>
      <c r="I91" s="12">
        <v>516000</v>
      </c>
      <c r="J91" s="12">
        <v>480000</v>
      </c>
    </row>
    <row r="92" spans="2:10" x14ac:dyDescent="0.45">
      <c r="B92" s="12" t="s">
        <v>31</v>
      </c>
      <c r="C92" s="12">
        <v>717000</v>
      </c>
      <c r="D92" s="12">
        <v>766000</v>
      </c>
      <c r="E92" s="12">
        <v>769000</v>
      </c>
      <c r="F92" s="12">
        <v>805000</v>
      </c>
      <c r="G92" s="12">
        <v>833000</v>
      </c>
      <c r="H92" s="12">
        <v>845000</v>
      </c>
      <c r="I92" s="12">
        <v>915000</v>
      </c>
      <c r="J92" s="12">
        <v>910000</v>
      </c>
    </row>
    <row r="93" spans="2:10" x14ac:dyDescent="0.45">
      <c r="B93" s="12" t="s">
        <v>225</v>
      </c>
      <c r="C93" s="12">
        <v>795000</v>
      </c>
      <c r="D93" s="12">
        <v>791000</v>
      </c>
      <c r="E93" s="12">
        <v>791000</v>
      </c>
      <c r="F93" s="12">
        <v>884000</v>
      </c>
      <c r="G93" s="12">
        <v>889000</v>
      </c>
      <c r="H93" s="12">
        <v>903000</v>
      </c>
      <c r="I93" s="12">
        <v>881000</v>
      </c>
      <c r="J93" s="12">
        <v>911000</v>
      </c>
    </row>
    <row r="95" spans="2:10" x14ac:dyDescent="0.45">
      <c r="B95" s="12" t="s">
        <v>2753</v>
      </c>
    </row>
    <row r="97" spans="2:7" x14ac:dyDescent="0.45">
      <c r="B97" s="13" t="s">
        <v>2755</v>
      </c>
    </row>
    <row r="98" spans="2:7" x14ac:dyDescent="0.45">
      <c r="B98" t="s">
        <v>2756</v>
      </c>
    </row>
    <row r="99" spans="2:7" x14ac:dyDescent="0.45">
      <c r="B99" t="s">
        <v>2757</v>
      </c>
    </row>
    <row r="100" spans="2:7" x14ac:dyDescent="0.45">
      <c r="B100" t="s">
        <v>2758</v>
      </c>
    </row>
    <row r="101" spans="2:7" x14ac:dyDescent="0.45">
      <c r="B101" t="s">
        <v>2759</v>
      </c>
    </row>
    <row r="102" spans="2:7" x14ac:dyDescent="0.45">
      <c r="B102" s="6" t="s">
        <v>2760</v>
      </c>
    </row>
    <row r="103" spans="2:7" x14ac:dyDescent="0.45">
      <c r="B103" t="s">
        <v>2763</v>
      </c>
    </row>
    <row r="104" spans="2:7" x14ac:dyDescent="0.45">
      <c r="B104" s="6" t="s">
        <v>2745</v>
      </c>
    </row>
    <row r="105" spans="2:7" x14ac:dyDescent="0.45">
      <c r="B105" t="str">
        <f>_xlfn.XLOOKUP("Anjali Mehta",Employee_Master!$F$1:$F$26,Employee_Master!A1:A26,"No Employee Found",0)</f>
        <v>EMP-001</v>
      </c>
    </row>
    <row r="107" spans="2:7" x14ac:dyDescent="0.45">
      <c r="B107" s="6" t="s">
        <v>2761</v>
      </c>
    </row>
    <row r="108" spans="2:7" x14ac:dyDescent="0.45">
      <c r="B108" t="str" cm="1">
        <f t="array" ref="B108:G108">_xlfn.XLOOKUP("EMP-016",Employee_Master!A1:A26,Employee_Master!B1:G26,"Not Found",0)</f>
        <v>Ritika Patel</v>
      </c>
      <c r="C108" t="str">
        <v>Sales</v>
      </c>
      <c r="D108" t="str">
        <v>North</v>
      </c>
      <c r="E108">
        <v>43593</v>
      </c>
      <c r="F108" t="str">
        <v>Anjali Mehta</v>
      </c>
      <c r="G108">
        <v>95000</v>
      </c>
    </row>
    <row r="109" spans="2:7" x14ac:dyDescent="0.45">
      <c r="B109" t="str" cm="1">
        <f t="array" ref="B109:C109">_xlfn.XLOOKUP("EMP-016",Employee_Master!A1:A26,Employee_Master!F1:G26,"Not available",0)</f>
        <v>Anjali Mehta</v>
      </c>
      <c r="C109">
        <v>95000</v>
      </c>
    </row>
    <row r="111" spans="2:7" x14ac:dyDescent="0.45">
      <c r="B111" s="6" t="s">
        <v>2762</v>
      </c>
    </row>
    <row r="112" spans="2:7" x14ac:dyDescent="0.45">
      <c r="B112" t="str" cm="1">
        <f t="array" ref="B112">_xlfn.XLOOKUP("PRD-0089",Product_Master!A1:A81,Product_Master!C1:D81,"Product Not Available")</f>
        <v>Product Not Available</v>
      </c>
    </row>
    <row r="113" spans="2:7" x14ac:dyDescent="0.45">
      <c r="B113" t="e">
        <f>VLOOKUP("PRD-0089",Product_Master!A1:J81,2,FALSE)</f>
        <v>#N/A</v>
      </c>
    </row>
    <row r="115" spans="2:7" x14ac:dyDescent="0.45">
      <c r="B115" t="s">
        <v>2764</v>
      </c>
      <c r="D115" t="s">
        <v>2765</v>
      </c>
    </row>
    <row r="116" spans="2:7" x14ac:dyDescent="0.45">
      <c r="D116" t="s">
        <v>2766</v>
      </c>
    </row>
    <row r="119" spans="2:7" x14ac:dyDescent="0.45">
      <c r="B119" t="s">
        <v>2767</v>
      </c>
    </row>
    <row r="120" spans="2:7" x14ac:dyDescent="0.45">
      <c r="B120" t="s">
        <v>2768</v>
      </c>
    </row>
    <row r="122" spans="2:7" x14ac:dyDescent="0.45">
      <c r="B122" t="s">
        <v>2769</v>
      </c>
      <c r="C122" t="s">
        <v>2773</v>
      </c>
      <c r="F122">
        <v>2</v>
      </c>
    </row>
    <row r="123" spans="2:7" x14ac:dyDescent="0.45">
      <c r="B123" t="s">
        <v>2770</v>
      </c>
      <c r="C123" t="s">
        <v>2774</v>
      </c>
      <c r="G123">
        <v>2500</v>
      </c>
    </row>
    <row r="124" spans="2:7" x14ac:dyDescent="0.45">
      <c r="B124" t="s">
        <v>2771</v>
      </c>
      <c r="D124">
        <v>2500</v>
      </c>
    </row>
    <row r="125" spans="2:7" x14ac:dyDescent="0.45">
      <c r="B125" s="6" t="s">
        <v>2772</v>
      </c>
    </row>
    <row r="128" spans="2:7" x14ac:dyDescent="0.45">
      <c r="B128" s="6" t="s">
        <v>2775</v>
      </c>
      <c r="D128" t="s">
        <v>2776</v>
      </c>
    </row>
    <row r="129" spans="1:9" x14ac:dyDescent="0.45">
      <c r="B129" t="s">
        <v>2777</v>
      </c>
    </row>
    <row r="130" spans="1:9" x14ac:dyDescent="0.45">
      <c r="B130" t="s">
        <v>2778</v>
      </c>
    </row>
    <row r="131" spans="1:9" x14ac:dyDescent="0.45">
      <c r="B131" t="s">
        <v>2779</v>
      </c>
    </row>
    <row r="133" spans="1:9" x14ac:dyDescent="0.45">
      <c r="B133">
        <v>45</v>
      </c>
    </row>
    <row r="134" spans="1:9" x14ac:dyDescent="0.45">
      <c r="B134">
        <v>85</v>
      </c>
    </row>
    <row r="135" spans="1:9" x14ac:dyDescent="0.45">
      <c r="B135">
        <f>SUM(B133:B134)</f>
        <v>130</v>
      </c>
    </row>
    <row r="137" spans="1:9" x14ac:dyDescent="0.45">
      <c r="B137" s="6" t="s">
        <v>2781</v>
      </c>
    </row>
    <row r="138" spans="1:9" x14ac:dyDescent="0.45">
      <c r="B138">
        <f>MATCH("CUST-0044",Customer_Master!A1:A421,0)</f>
        <v>45</v>
      </c>
      <c r="C138" t="s">
        <v>2780</v>
      </c>
      <c r="E138" s="6" t="s">
        <v>2782</v>
      </c>
      <c r="I138" t="s">
        <v>2783</v>
      </c>
    </row>
    <row r="139" spans="1:9" x14ac:dyDescent="0.45">
      <c r="A139" t="s">
        <v>2785</v>
      </c>
      <c r="B139" t="str">
        <f>INDEX(Customer_Master!B1:B421,45)</f>
        <v>Sai Tiwari</v>
      </c>
    </row>
    <row r="140" spans="1:9" x14ac:dyDescent="0.45">
      <c r="B140" t="s">
        <v>2784</v>
      </c>
      <c r="D140" t="str">
        <f>INDEX(Customer_Master!B1:B421,MATCH("CUST-0044",Customer_Master!A1:A421,0))</f>
        <v>Sai Tiwari</v>
      </c>
    </row>
    <row r="142" spans="1:9" x14ac:dyDescent="0.45">
      <c r="B142" s="6" t="s">
        <v>2786</v>
      </c>
      <c r="D142" t="s">
        <v>2787</v>
      </c>
    </row>
    <row r="143" spans="1:9" x14ac:dyDescent="0.45">
      <c r="B143" t="s">
        <v>2788</v>
      </c>
    </row>
    <row r="144" spans="1:9" x14ac:dyDescent="0.45">
      <c r="B144" t="s">
        <v>2789</v>
      </c>
    </row>
    <row r="145" spans="1:7" x14ac:dyDescent="0.45">
      <c r="B145" t="s">
        <v>2790</v>
      </c>
    </row>
    <row r="147" spans="1:7" x14ac:dyDescent="0.45">
      <c r="C147" t="s">
        <v>2791</v>
      </c>
    </row>
    <row r="149" spans="1:7" x14ac:dyDescent="0.45">
      <c r="B149" t="s">
        <v>2792</v>
      </c>
    </row>
    <row r="150" spans="1:7" x14ac:dyDescent="0.45">
      <c r="B150" s="6" t="s">
        <v>2793</v>
      </c>
    </row>
    <row r="151" spans="1:7" x14ac:dyDescent="0.45">
      <c r="B151" t="str">
        <f>INDEX(Employee_Master!B1:B26,15)</f>
        <v>Priya Rao</v>
      </c>
    </row>
    <row r="152" spans="1:7" x14ac:dyDescent="0.45">
      <c r="B152" t="s">
        <v>2794</v>
      </c>
    </row>
    <row r="153" spans="1:7" x14ac:dyDescent="0.45">
      <c r="A153" t="s">
        <v>2795</v>
      </c>
      <c r="B153" t="s">
        <v>2680</v>
      </c>
      <c r="C153" t="s">
        <v>2643</v>
      </c>
      <c r="D153" t="s">
        <v>2796</v>
      </c>
      <c r="E153" t="s">
        <v>2681</v>
      </c>
      <c r="F153" t="s">
        <v>2281</v>
      </c>
      <c r="G153" t="s">
        <v>2282</v>
      </c>
    </row>
    <row r="154" spans="1:7" x14ac:dyDescent="0.45">
      <c r="A154">
        <v>12345</v>
      </c>
      <c r="B154" t="s">
        <v>2797</v>
      </c>
      <c r="C154" t="s">
        <v>2798</v>
      </c>
      <c r="D154" s="14" t="s">
        <v>2799</v>
      </c>
      <c r="E154">
        <v>456798123</v>
      </c>
      <c r="F154" t="s">
        <v>2303</v>
      </c>
      <c r="G154" t="s">
        <v>2304</v>
      </c>
    </row>
    <row r="156" spans="1:7" x14ac:dyDescent="0.45">
      <c r="B156" s="6" t="s">
        <v>2800</v>
      </c>
    </row>
    <row r="157" spans="1:7" x14ac:dyDescent="0.45">
      <c r="B157" s="6" t="s">
        <v>2801</v>
      </c>
    </row>
    <row r="160" spans="1:7" x14ac:dyDescent="0.45">
      <c r="B160" s="6" t="s">
        <v>2771</v>
      </c>
    </row>
    <row r="161" spans="2:7" x14ac:dyDescent="0.45">
      <c r="B161" s="15" t="s">
        <v>2802</v>
      </c>
    </row>
    <row r="162" spans="2:7" x14ac:dyDescent="0.45">
      <c r="C162" t="s">
        <v>2803</v>
      </c>
      <c r="G162" t="s">
        <v>2807</v>
      </c>
    </row>
    <row r="163" spans="2:7" x14ac:dyDescent="0.45">
      <c r="C163" t="s">
        <v>2804</v>
      </c>
      <c r="G163" t="s">
        <v>2805</v>
      </c>
    </row>
    <row r="165" spans="2:7" x14ac:dyDescent="0.45">
      <c r="C165" s="6" t="s">
        <v>2806</v>
      </c>
    </row>
    <row r="166" spans="2:7" x14ac:dyDescent="0.45">
      <c r="D166" t="s">
        <v>2808</v>
      </c>
    </row>
    <row r="167" spans="2:7" x14ac:dyDescent="0.45">
      <c r="D167" t="s">
        <v>2809</v>
      </c>
    </row>
    <row r="168" spans="2:7" x14ac:dyDescent="0.45">
      <c r="D168" t="s">
        <v>2810</v>
      </c>
    </row>
    <row r="169" spans="2:7" x14ac:dyDescent="0.45">
      <c r="D169" t="s">
        <v>2811</v>
      </c>
    </row>
    <row r="171" spans="2:7" x14ac:dyDescent="0.45">
      <c r="B171" t="s">
        <v>2812</v>
      </c>
    </row>
    <row r="172" spans="2:7" x14ac:dyDescent="0.45">
      <c r="B172">
        <f>MATCH("PRD-0060",Product_Master!A1:A81,0)</f>
        <v>61</v>
      </c>
      <c r="C172" t="s">
        <v>2780</v>
      </c>
      <c r="E172" t="s">
        <v>2813</v>
      </c>
    </row>
    <row r="173" spans="2:7" x14ac:dyDescent="0.45">
      <c r="B173" t="str">
        <f>INDEX(Product_Master!$B$1:$B$81,61)</f>
        <v>Managed Switch 24-Port V3</v>
      </c>
    </row>
    <row r="174" spans="2:7" x14ac:dyDescent="0.45">
      <c r="B174" t="s">
        <v>2771</v>
      </c>
      <c r="D174" t="str">
        <f>INDEX(Product_Master!B1:B81,MATCH("PRD-0060",Product_Master!A1:A81,0))</f>
        <v>Managed Switch 24-Port V3</v>
      </c>
    </row>
    <row r="176" spans="2:7" x14ac:dyDescent="0.45">
      <c r="B176" s="6" t="s">
        <v>2814</v>
      </c>
    </row>
    <row r="177" spans="1:6" x14ac:dyDescent="0.45">
      <c r="B177">
        <f>INDEX(Product_Master!G1:$G$81,MATCH("PRD-0060",Product_Master!$A$1:$A$81,0))</f>
        <v>28454.58</v>
      </c>
    </row>
    <row r="179" spans="1:6" x14ac:dyDescent="0.45">
      <c r="B179" t="s">
        <v>2815</v>
      </c>
    </row>
    <row r="180" spans="1:6" x14ac:dyDescent="0.45">
      <c r="B180" t="str">
        <f>INDEX(Employee_Master!F1:F26,MATCH("EMP-014",Employee_Master!A1:A26,0))</f>
        <v>Vikram Sethi</v>
      </c>
      <c r="C180" t="s">
        <v>2816</v>
      </c>
    </row>
    <row r="181" spans="1:6" x14ac:dyDescent="0.45">
      <c r="B181" s="16" t="str">
        <f>VLOOKUP("EMP-014",Employee_Master!A1:I26,6,FALSE)</f>
        <v>Vikram Sethi</v>
      </c>
    </row>
    <row r="182" spans="1:6" x14ac:dyDescent="0.45">
      <c r="B182" t="str">
        <f>_xlfn.XLOOKUP("EMP-014",Employee_Master!A1:A26,Employee_Master!F1:F26,"Not Found",0)</f>
        <v>Vikram Sethi</v>
      </c>
      <c r="C182" t="s">
        <v>2817</v>
      </c>
      <c r="D182" t="s">
        <v>2818</v>
      </c>
    </row>
    <row r="185" spans="1:6" ht="21" x14ac:dyDescent="0.65">
      <c r="B185" s="17" t="s">
        <v>2819</v>
      </c>
      <c r="C185" s="18"/>
      <c r="D185" s="18"/>
      <c r="E185" s="18"/>
      <c r="F185" s="18"/>
    </row>
    <row r="186" spans="1:6" x14ac:dyDescent="0.45">
      <c r="A186" s="6" t="s">
        <v>2831</v>
      </c>
      <c r="B186" t="s">
        <v>2820</v>
      </c>
    </row>
    <row r="187" spans="1:6" x14ac:dyDescent="0.45">
      <c r="B187" t="s">
        <v>2821</v>
      </c>
    </row>
    <row r="188" spans="1:6" x14ac:dyDescent="0.45">
      <c r="B188" t="s">
        <v>2822</v>
      </c>
    </row>
    <row r="189" spans="1:6" x14ac:dyDescent="0.45">
      <c r="B189" t="s">
        <v>2823</v>
      </c>
    </row>
    <row r="190" spans="1:6" x14ac:dyDescent="0.45">
      <c r="B190" t="s">
        <v>2824</v>
      </c>
    </row>
    <row r="192" spans="1:6" x14ac:dyDescent="0.45">
      <c r="B192" s="6" t="s">
        <v>2830</v>
      </c>
    </row>
    <row r="193" spans="1:10" x14ac:dyDescent="0.45">
      <c r="B193">
        <f>INDEX(Monthly_Targets!B2:D26,MATCH("EMP-005",Monthly_Targets!A2:A26,0),MATCH("Mar",Monthly_Targets!B1:D1,0))</f>
        <v>791000</v>
      </c>
    </row>
    <row r="195" spans="1:10" x14ac:dyDescent="0.45">
      <c r="A195" s="6" t="s">
        <v>2832</v>
      </c>
      <c r="B195" s="6" t="s">
        <v>2838</v>
      </c>
    </row>
    <row r="196" spans="1:10" x14ac:dyDescent="0.45">
      <c r="A196" s="6"/>
      <c r="B196" s="6" t="s">
        <v>2839</v>
      </c>
    </row>
    <row r="197" spans="1:10" x14ac:dyDescent="0.45">
      <c r="B197" t="s">
        <v>2833</v>
      </c>
    </row>
    <row r="198" spans="1:10" x14ac:dyDescent="0.45">
      <c r="B198" t="s">
        <v>2834</v>
      </c>
      <c r="H198" t="s">
        <v>2835</v>
      </c>
    </row>
    <row r="199" spans="1:10" x14ac:dyDescent="0.45">
      <c r="H199" t="s">
        <v>2836</v>
      </c>
    </row>
    <row r="200" spans="1:10" x14ac:dyDescent="0.45">
      <c r="B200" s="6" t="s">
        <v>2840</v>
      </c>
    </row>
    <row r="203" spans="1:10" ht="21" x14ac:dyDescent="0.65">
      <c r="A203" s="17" t="s">
        <v>2841</v>
      </c>
      <c r="B203" s="18"/>
      <c r="C203" s="18"/>
      <c r="D203" s="18"/>
      <c r="E203" s="18"/>
      <c r="F203" s="18"/>
    </row>
    <row r="205" spans="1:10" x14ac:dyDescent="0.45">
      <c r="A205" s="6" t="s">
        <v>2842</v>
      </c>
    </row>
    <row r="206" spans="1:10" x14ac:dyDescent="0.45">
      <c r="B206">
        <f ca="1">DATEDIF(_xlfn.XLOOKUP("EMP-004",Employee_Master!$A$2:$A$26,Employee_Master!$E$2:$E$26),TODAY(),"Y")</f>
        <v>2</v>
      </c>
      <c r="C206">
        <f ca="1">DATEDIF(VLOOKUP("EMP-004",Employee_Master!A2:I26,5,FALSE),TODAY(),"Y")</f>
        <v>2</v>
      </c>
    </row>
    <row r="207" spans="1:10" x14ac:dyDescent="0.45">
      <c r="B207" t="s">
        <v>2843</v>
      </c>
    </row>
    <row r="208" spans="1:10" x14ac:dyDescent="0.45">
      <c r="B208" t="s">
        <v>2844</v>
      </c>
      <c r="I208" t="s">
        <v>2845</v>
      </c>
      <c r="J208" s="2">
        <v>45313</v>
      </c>
    </row>
    <row r="209" spans="1:3" x14ac:dyDescent="0.45">
      <c r="B209" t="s">
        <v>2846</v>
      </c>
    </row>
    <row r="210" spans="1:3" x14ac:dyDescent="0.45">
      <c r="B210" t="s">
        <v>2847</v>
      </c>
    </row>
    <row r="211" spans="1:3" x14ac:dyDescent="0.45">
      <c r="B211" s="16">
        <f>_xlfn.XLOOKUP("EMP-004",Employee_Master!A2:A26,Employee_Master!E2:E26)</f>
        <v>45313</v>
      </c>
    </row>
    <row r="212" spans="1:3" x14ac:dyDescent="0.45">
      <c r="B212">
        <f ca="1">DATEDIF(B211,TODAY(),"Y")</f>
        <v>2</v>
      </c>
    </row>
    <row r="213" spans="1:3" x14ac:dyDescent="0.45">
      <c r="A213" s="6" t="s">
        <v>2848</v>
      </c>
    </row>
    <row r="214" spans="1:3" x14ac:dyDescent="0.45">
      <c r="B214">
        <f ca="1">DATEDIF(_xlfn.XLOOKUP("EMP-016",Employee_Master!$A$2:$A$26,Employee_Master!$E$2:$E$26),TODAY(),"Y")</f>
        <v>7</v>
      </c>
    </row>
    <row r="215" spans="1:3" x14ac:dyDescent="0.45">
      <c r="B215" s="16">
        <f>_xlfn.XLOOKUP("EMP-016",Employee_Master!A2:A26,Employee_Master!E2:E26)</f>
        <v>43593</v>
      </c>
      <c r="C215" s="16">
        <f>VLOOKUP("EMP-016",Employee_Master!$A$2:$I$26,5,FALSE)</f>
        <v>43593</v>
      </c>
    </row>
    <row r="216" spans="1:3" x14ac:dyDescent="0.45">
      <c r="B216">
        <f ca="1">DATEDIF(B215,TODAY(),"Y")</f>
        <v>7</v>
      </c>
      <c r="C216">
        <f ca="1">DATEDIF(C215,TODAY(),"Y")</f>
        <v>7</v>
      </c>
    </row>
    <row r="218" spans="1:3" x14ac:dyDescent="0.45">
      <c r="C218" t="s">
        <v>2849</v>
      </c>
    </row>
    <row r="219" spans="1:3" x14ac:dyDescent="0.45">
      <c r="C219" t="s">
        <v>2850</v>
      </c>
    </row>
    <row r="220" spans="1:3" x14ac:dyDescent="0.45">
      <c r="C220" t="s">
        <v>2851</v>
      </c>
    </row>
    <row r="221" spans="1:3" x14ac:dyDescent="0.45">
      <c r="C221" t="s">
        <v>2852</v>
      </c>
    </row>
  </sheetData>
  <hyperlinks>
    <hyperlink ref="D154" r:id="rId1" xr:uid="{EC30AD56-5CA0-4414-BD22-886CDD32CCA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workbookViewId="0">
      <pane ySplit="1" topLeftCell="A2" activePane="bottomLeft" state="frozen"/>
      <selection pane="bottomLeft" activeCell="K2" sqref="K2"/>
    </sheetView>
  </sheetViews>
  <sheetFormatPr defaultRowHeight="14.25" x14ac:dyDescent="0.45"/>
  <cols>
    <col min="1" max="1" width="12" customWidth="1"/>
    <col min="2" max="2" width="28" customWidth="1"/>
    <col min="3" max="3" width="18" customWidth="1"/>
    <col min="4" max="4" width="14" customWidth="1"/>
    <col min="5" max="5" width="13" customWidth="1"/>
    <col min="6" max="7" width="12" customWidth="1"/>
    <col min="8" max="8" width="13" customWidth="1"/>
    <col min="9" max="9" width="16" customWidth="1"/>
    <col min="10" max="10" width="15" customWidth="1"/>
  </cols>
  <sheetData>
    <row r="1" spans="1:11" x14ac:dyDescent="0.45">
      <c r="A1" s="1" t="s">
        <v>3</v>
      </c>
      <c r="B1" s="1" t="s">
        <v>2141</v>
      </c>
      <c r="C1" s="1" t="s">
        <v>2142</v>
      </c>
      <c r="D1" s="1" t="s">
        <v>2143</v>
      </c>
      <c r="E1" s="1" t="s">
        <v>2144</v>
      </c>
      <c r="F1" s="1" t="s">
        <v>2145</v>
      </c>
      <c r="G1" s="1" t="s">
        <v>2146</v>
      </c>
      <c r="H1" s="1" t="s">
        <v>2147</v>
      </c>
      <c r="I1" s="1" t="s">
        <v>2148</v>
      </c>
      <c r="J1" s="1" t="s">
        <v>2149</v>
      </c>
    </row>
    <row r="2" spans="1:11" x14ac:dyDescent="0.45">
      <c r="A2" t="s">
        <v>256</v>
      </c>
      <c r="B2" t="s">
        <v>2150</v>
      </c>
      <c r="C2" t="s">
        <v>2151</v>
      </c>
      <c r="D2" t="s">
        <v>2152</v>
      </c>
      <c r="E2" t="s">
        <v>2153</v>
      </c>
      <c r="F2" s="4">
        <v>1530.71</v>
      </c>
      <c r="G2" s="4">
        <v>970.1</v>
      </c>
      <c r="H2" t="s">
        <v>2154</v>
      </c>
      <c r="I2">
        <v>379</v>
      </c>
      <c r="J2">
        <v>25</v>
      </c>
      <c r="K2" s="19"/>
    </row>
    <row r="3" spans="1:11" x14ac:dyDescent="0.45">
      <c r="A3" t="s">
        <v>110</v>
      </c>
      <c r="B3" t="s">
        <v>2155</v>
      </c>
      <c r="C3" t="s">
        <v>2151</v>
      </c>
      <c r="D3" t="s">
        <v>2152</v>
      </c>
      <c r="E3" t="s">
        <v>2156</v>
      </c>
      <c r="F3" s="4">
        <v>6926.15</v>
      </c>
      <c r="G3" s="4">
        <v>4849</v>
      </c>
      <c r="H3" t="s">
        <v>2157</v>
      </c>
      <c r="I3">
        <v>377</v>
      </c>
      <c r="J3">
        <v>15</v>
      </c>
    </row>
    <row r="4" spans="1:11" x14ac:dyDescent="0.45">
      <c r="A4" t="s">
        <v>217</v>
      </c>
      <c r="B4" t="s">
        <v>2158</v>
      </c>
      <c r="C4" t="s">
        <v>2151</v>
      </c>
      <c r="D4" t="s">
        <v>2159</v>
      </c>
      <c r="E4" t="s">
        <v>2160</v>
      </c>
      <c r="F4" s="4">
        <v>66567.81</v>
      </c>
      <c r="G4" s="4">
        <v>53767.14</v>
      </c>
      <c r="H4" t="s">
        <v>2161</v>
      </c>
      <c r="I4">
        <v>44</v>
      </c>
      <c r="J4">
        <v>40</v>
      </c>
    </row>
    <row r="5" spans="1:11" x14ac:dyDescent="0.45">
      <c r="A5" t="s">
        <v>19</v>
      </c>
      <c r="B5" t="s">
        <v>2162</v>
      </c>
      <c r="C5" t="s">
        <v>2151</v>
      </c>
      <c r="D5" t="s">
        <v>2159</v>
      </c>
      <c r="E5" t="s">
        <v>2163</v>
      </c>
      <c r="F5" s="4">
        <v>79295.539999999994</v>
      </c>
      <c r="G5" s="4">
        <v>64742.12</v>
      </c>
      <c r="H5" t="s">
        <v>2154</v>
      </c>
      <c r="I5">
        <v>47</v>
      </c>
      <c r="J5">
        <v>20</v>
      </c>
    </row>
    <row r="6" spans="1:11" x14ac:dyDescent="0.45">
      <c r="A6" t="s">
        <v>51</v>
      </c>
      <c r="B6" t="s">
        <v>2164</v>
      </c>
      <c r="C6" t="s">
        <v>2151</v>
      </c>
      <c r="D6" t="s">
        <v>2165</v>
      </c>
      <c r="E6" t="s">
        <v>2166</v>
      </c>
      <c r="F6" s="4">
        <v>22737.11</v>
      </c>
      <c r="G6" s="4">
        <v>17597.310000000001</v>
      </c>
      <c r="H6" t="s">
        <v>2154</v>
      </c>
      <c r="I6">
        <v>287</v>
      </c>
      <c r="J6">
        <v>20</v>
      </c>
    </row>
    <row r="7" spans="1:11" x14ac:dyDescent="0.45">
      <c r="A7" t="s">
        <v>348</v>
      </c>
      <c r="B7" t="s">
        <v>2167</v>
      </c>
      <c r="C7" t="s">
        <v>2151</v>
      </c>
      <c r="D7" t="s">
        <v>2165</v>
      </c>
      <c r="E7" t="s">
        <v>2168</v>
      </c>
      <c r="F7" s="4">
        <v>16435.48</v>
      </c>
      <c r="G7" s="4">
        <v>12430.11</v>
      </c>
      <c r="H7" t="s">
        <v>2161</v>
      </c>
      <c r="I7">
        <v>214</v>
      </c>
      <c r="J7">
        <v>20</v>
      </c>
    </row>
    <row r="8" spans="1:11" x14ac:dyDescent="0.45">
      <c r="A8" t="s">
        <v>529</v>
      </c>
      <c r="B8" t="s">
        <v>2169</v>
      </c>
      <c r="C8" t="s">
        <v>2151</v>
      </c>
      <c r="D8" t="s">
        <v>2152</v>
      </c>
      <c r="E8" t="s">
        <v>2163</v>
      </c>
      <c r="F8" s="4">
        <v>12070.23</v>
      </c>
      <c r="G8" s="4">
        <v>8651.06</v>
      </c>
      <c r="H8" t="s">
        <v>2170</v>
      </c>
      <c r="I8">
        <v>414</v>
      </c>
      <c r="J8">
        <v>15</v>
      </c>
    </row>
    <row r="9" spans="1:11" x14ac:dyDescent="0.45">
      <c r="A9" t="s">
        <v>221</v>
      </c>
      <c r="B9" t="s">
        <v>2171</v>
      </c>
      <c r="C9" t="s">
        <v>2151</v>
      </c>
      <c r="D9" t="s">
        <v>2172</v>
      </c>
      <c r="E9" t="s">
        <v>2173</v>
      </c>
      <c r="F9" s="4">
        <v>25766.58</v>
      </c>
      <c r="G9" s="4">
        <v>20098.740000000002</v>
      </c>
      <c r="H9" t="s">
        <v>2174</v>
      </c>
      <c r="I9">
        <v>357</v>
      </c>
      <c r="J9">
        <v>30</v>
      </c>
    </row>
    <row r="10" spans="1:11" x14ac:dyDescent="0.45">
      <c r="A10" t="s">
        <v>277</v>
      </c>
      <c r="B10" t="s">
        <v>2175</v>
      </c>
      <c r="C10" t="s">
        <v>2151</v>
      </c>
      <c r="D10" t="s">
        <v>2152</v>
      </c>
      <c r="E10" t="s">
        <v>2153</v>
      </c>
      <c r="F10" s="4">
        <v>5982.32</v>
      </c>
      <c r="G10" s="4">
        <v>3889.16</v>
      </c>
      <c r="H10" t="s">
        <v>2157</v>
      </c>
      <c r="I10">
        <v>110</v>
      </c>
      <c r="J10">
        <v>25</v>
      </c>
    </row>
    <row r="11" spans="1:11" x14ac:dyDescent="0.45">
      <c r="A11" t="s">
        <v>39</v>
      </c>
      <c r="B11" t="s">
        <v>2176</v>
      </c>
      <c r="C11" t="s">
        <v>2151</v>
      </c>
      <c r="D11" t="s">
        <v>2177</v>
      </c>
      <c r="E11" t="s">
        <v>2166</v>
      </c>
      <c r="F11" s="4">
        <v>8802.61</v>
      </c>
      <c r="G11" s="4">
        <v>6651.6</v>
      </c>
      <c r="H11" t="s">
        <v>2178</v>
      </c>
      <c r="I11">
        <v>49</v>
      </c>
      <c r="J11">
        <v>25</v>
      </c>
    </row>
    <row r="12" spans="1:11" x14ac:dyDescent="0.45">
      <c r="A12" t="s">
        <v>241</v>
      </c>
      <c r="B12" t="s">
        <v>2179</v>
      </c>
      <c r="C12" t="s">
        <v>2180</v>
      </c>
      <c r="D12" t="s">
        <v>2181</v>
      </c>
      <c r="E12" t="s">
        <v>2182</v>
      </c>
      <c r="F12" s="4">
        <v>19717.150000000001</v>
      </c>
      <c r="G12" s="4">
        <v>13698.95</v>
      </c>
      <c r="H12" t="s">
        <v>2170</v>
      </c>
      <c r="I12">
        <v>413</v>
      </c>
      <c r="J12">
        <v>15</v>
      </c>
    </row>
    <row r="13" spans="1:11" x14ac:dyDescent="0.45">
      <c r="A13" t="s">
        <v>46</v>
      </c>
      <c r="B13" t="s">
        <v>2183</v>
      </c>
      <c r="C13" t="s">
        <v>2180</v>
      </c>
      <c r="D13" t="s">
        <v>2181</v>
      </c>
      <c r="E13" t="s">
        <v>2184</v>
      </c>
      <c r="F13" s="4">
        <v>28793.57</v>
      </c>
      <c r="G13" s="4">
        <v>20361.900000000001</v>
      </c>
      <c r="H13" t="s">
        <v>2161</v>
      </c>
      <c r="I13">
        <v>63</v>
      </c>
      <c r="J13">
        <v>30</v>
      </c>
    </row>
    <row r="14" spans="1:11" x14ac:dyDescent="0.45">
      <c r="A14" t="s">
        <v>143</v>
      </c>
      <c r="B14" t="s">
        <v>2185</v>
      </c>
      <c r="C14" t="s">
        <v>2180</v>
      </c>
      <c r="D14" t="s">
        <v>2186</v>
      </c>
      <c r="E14" t="s">
        <v>2187</v>
      </c>
      <c r="F14" s="4">
        <v>34169.660000000003</v>
      </c>
      <c r="G14" s="4">
        <v>24407.599999999999</v>
      </c>
      <c r="H14" t="s">
        <v>2188</v>
      </c>
      <c r="I14">
        <v>424</v>
      </c>
      <c r="J14">
        <v>50</v>
      </c>
    </row>
    <row r="15" spans="1:11" x14ac:dyDescent="0.45">
      <c r="A15" t="s">
        <v>12</v>
      </c>
      <c r="B15" t="s">
        <v>2189</v>
      </c>
      <c r="C15" t="s">
        <v>2180</v>
      </c>
      <c r="D15" t="s">
        <v>2186</v>
      </c>
      <c r="E15" t="s">
        <v>2190</v>
      </c>
      <c r="F15" s="4">
        <v>17330.169999999998</v>
      </c>
      <c r="G15" s="4">
        <v>12131.83</v>
      </c>
      <c r="H15" t="s">
        <v>2191</v>
      </c>
      <c r="I15">
        <v>295</v>
      </c>
      <c r="J15">
        <v>20</v>
      </c>
    </row>
    <row r="16" spans="1:11" x14ac:dyDescent="0.45">
      <c r="A16" t="s">
        <v>646</v>
      </c>
      <c r="B16" t="s">
        <v>2192</v>
      </c>
      <c r="C16" t="s">
        <v>2180</v>
      </c>
      <c r="D16" t="s">
        <v>2177</v>
      </c>
      <c r="E16" t="s">
        <v>2190</v>
      </c>
      <c r="F16" s="4">
        <v>13341.73</v>
      </c>
      <c r="G16" s="4">
        <v>9032.02</v>
      </c>
      <c r="H16" t="s">
        <v>2193</v>
      </c>
      <c r="I16">
        <v>338</v>
      </c>
      <c r="J16">
        <v>20</v>
      </c>
    </row>
    <row r="17" spans="1:10" x14ac:dyDescent="0.45">
      <c r="A17" t="s">
        <v>155</v>
      </c>
      <c r="B17" t="s">
        <v>2194</v>
      </c>
      <c r="C17" t="s">
        <v>2195</v>
      </c>
      <c r="D17" t="s">
        <v>2196</v>
      </c>
      <c r="E17" t="s">
        <v>2197</v>
      </c>
      <c r="F17" s="4">
        <v>22699.57</v>
      </c>
      <c r="G17" s="4">
        <v>17541.37</v>
      </c>
      <c r="H17" t="s">
        <v>2198</v>
      </c>
      <c r="I17">
        <v>437</v>
      </c>
      <c r="J17">
        <v>20</v>
      </c>
    </row>
    <row r="18" spans="1:10" x14ac:dyDescent="0.45">
      <c r="A18" t="s">
        <v>91</v>
      </c>
      <c r="B18" t="s">
        <v>2199</v>
      </c>
      <c r="C18" t="s">
        <v>2195</v>
      </c>
      <c r="D18" t="s">
        <v>2196</v>
      </c>
      <c r="E18" t="s">
        <v>2200</v>
      </c>
      <c r="F18" s="4">
        <v>19746.02</v>
      </c>
      <c r="G18" s="4">
        <v>14758.33</v>
      </c>
      <c r="H18" t="s">
        <v>2178</v>
      </c>
      <c r="I18">
        <v>142</v>
      </c>
      <c r="J18">
        <v>30</v>
      </c>
    </row>
    <row r="19" spans="1:10" x14ac:dyDescent="0.45">
      <c r="A19" t="s">
        <v>182</v>
      </c>
      <c r="B19" t="s">
        <v>2201</v>
      </c>
      <c r="C19" t="s">
        <v>2195</v>
      </c>
      <c r="D19" t="s">
        <v>2202</v>
      </c>
      <c r="E19" t="s">
        <v>2203</v>
      </c>
      <c r="F19" s="4">
        <v>11228.38</v>
      </c>
      <c r="G19" s="4">
        <v>8268.92</v>
      </c>
      <c r="H19" t="s">
        <v>2191</v>
      </c>
      <c r="I19">
        <v>83</v>
      </c>
      <c r="J19">
        <v>25</v>
      </c>
    </row>
    <row r="20" spans="1:10" x14ac:dyDescent="0.45">
      <c r="A20" t="s">
        <v>167</v>
      </c>
      <c r="B20" t="s">
        <v>2204</v>
      </c>
      <c r="C20" t="s">
        <v>2205</v>
      </c>
      <c r="D20" t="s">
        <v>2206</v>
      </c>
      <c r="E20" t="s">
        <v>2207</v>
      </c>
      <c r="F20" s="4">
        <v>8984.7999999999993</v>
      </c>
      <c r="G20" s="4">
        <v>6190.21</v>
      </c>
      <c r="H20" t="s">
        <v>2170</v>
      </c>
      <c r="I20">
        <v>359</v>
      </c>
      <c r="J20">
        <v>50</v>
      </c>
    </row>
    <row r="21" spans="1:10" x14ac:dyDescent="0.45">
      <c r="A21" t="s">
        <v>246</v>
      </c>
      <c r="B21" t="s">
        <v>2208</v>
      </c>
      <c r="C21" t="s">
        <v>2205</v>
      </c>
      <c r="D21" t="s">
        <v>2209</v>
      </c>
      <c r="E21" t="s">
        <v>2210</v>
      </c>
      <c r="F21" s="4">
        <v>33719.79</v>
      </c>
      <c r="G21" s="4">
        <v>25341.7</v>
      </c>
      <c r="H21" t="s">
        <v>2174</v>
      </c>
      <c r="I21">
        <v>273</v>
      </c>
      <c r="J21">
        <v>50</v>
      </c>
    </row>
    <row r="22" spans="1:10" x14ac:dyDescent="0.45">
      <c r="A22" t="s">
        <v>100</v>
      </c>
      <c r="B22" t="s">
        <v>2211</v>
      </c>
      <c r="C22" t="s">
        <v>2151</v>
      </c>
      <c r="D22" t="s">
        <v>2152</v>
      </c>
      <c r="E22" t="s">
        <v>2153</v>
      </c>
      <c r="F22" s="4">
        <v>1588.32</v>
      </c>
      <c r="G22" s="4">
        <v>1006.61</v>
      </c>
      <c r="H22" t="s">
        <v>2212</v>
      </c>
      <c r="I22">
        <v>194</v>
      </c>
      <c r="J22">
        <v>25</v>
      </c>
    </row>
    <row r="23" spans="1:10" x14ac:dyDescent="0.45">
      <c r="A23" t="s">
        <v>179</v>
      </c>
      <c r="B23" t="s">
        <v>2213</v>
      </c>
      <c r="C23" t="s">
        <v>2151</v>
      </c>
      <c r="D23" t="s">
        <v>2152</v>
      </c>
      <c r="E23" t="s">
        <v>2156</v>
      </c>
      <c r="F23" s="4">
        <v>7833.01</v>
      </c>
      <c r="G23" s="4">
        <v>5483.89</v>
      </c>
      <c r="H23" t="s">
        <v>2161</v>
      </c>
      <c r="I23">
        <v>112</v>
      </c>
      <c r="J23">
        <v>50</v>
      </c>
    </row>
    <row r="24" spans="1:10" x14ac:dyDescent="0.45">
      <c r="A24" t="s">
        <v>185</v>
      </c>
      <c r="B24" t="s">
        <v>2214</v>
      </c>
      <c r="C24" t="s">
        <v>2151</v>
      </c>
      <c r="D24" t="s">
        <v>2159</v>
      </c>
      <c r="E24" t="s">
        <v>2160</v>
      </c>
      <c r="F24" s="4">
        <v>69285.2</v>
      </c>
      <c r="G24" s="4">
        <v>55961.99</v>
      </c>
      <c r="H24" t="s">
        <v>2193</v>
      </c>
      <c r="I24">
        <v>117</v>
      </c>
      <c r="J24">
        <v>15</v>
      </c>
    </row>
    <row r="25" spans="1:10" x14ac:dyDescent="0.45">
      <c r="A25" t="s">
        <v>439</v>
      </c>
      <c r="B25" t="s">
        <v>2215</v>
      </c>
      <c r="C25" t="s">
        <v>2151</v>
      </c>
      <c r="D25" t="s">
        <v>2159</v>
      </c>
      <c r="E25" t="s">
        <v>2163</v>
      </c>
      <c r="F25" s="4">
        <v>87246.79</v>
      </c>
      <c r="G25" s="4">
        <v>71234.039999999994</v>
      </c>
      <c r="H25" t="s">
        <v>2178</v>
      </c>
      <c r="I25">
        <v>137</v>
      </c>
      <c r="J25">
        <v>15</v>
      </c>
    </row>
    <row r="26" spans="1:10" x14ac:dyDescent="0.45">
      <c r="A26" t="s">
        <v>71</v>
      </c>
      <c r="B26" t="s">
        <v>2216</v>
      </c>
      <c r="C26" t="s">
        <v>2151</v>
      </c>
      <c r="D26" t="s">
        <v>2165</v>
      </c>
      <c r="E26" t="s">
        <v>2166</v>
      </c>
      <c r="F26" s="4">
        <v>24307.15</v>
      </c>
      <c r="G26" s="4">
        <v>18812.439999999999</v>
      </c>
      <c r="H26" t="s">
        <v>2217</v>
      </c>
      <c r="I26">
        <v>108</v>
      </c>
      <c r="J26">
        <v>50</v>
      </c>
    </row>
    <row r="27" spans="1:10" x14ac:dyDescent="0.45">
      <c r="A27" t="s">
        <v>430</v>
      </c>
      <c r="B27" t="s">
        <v>2218</v>
      </c>
      <c r="C27" t="s">
        <v>2151</v>
      </c>
      <c r="D27" t="s">
        <v>2165</v>
      </c>
      <c r="E27" t="s">
        <v>2168</v>
      </c>
      <c r="F27" s="4">
        <v>17277.939999999999</v>
      </c>
      <c r="G27" s="4">
        <v>13067.26</v>
      </c>
      <c r="H27" t="s">
        <v>2212</v>
      </c>
      <c r="I27">
        <v>73</v>
      </c>
      <c r="J27">
        <v>25</v>
      </c>
    </row>
    <row r="28" spans="1:10" x14ac:dyDescent="0.45">
      <c r="A28" t="s">
        <v>249</v>
      </c>
      <c r="B28" t="s">
        <v>2219</v>
      </c>
      <c r="C28" t="s">
        <v>2151</v>
      </c>
      <c r="D28" t="s">
        <v>2152</v>
      </c>
      <c r="E28" t="s">
        <v>2163</v>
      </c>
      <c r="F28" s="4">
        <v>12612.99</v>
      </c>
      <c r="G28" s="4">
        <v>9040.07</v>
      </c>
      <c r="H28" t="s">
        <v>2161</v>
      </c>
      <c r="I28">
        <v>275</v>
      </c>
      <c r="J28">
        <v>25</v>
      </c>
    </row>
    <row r="29" spans="1:10" x14ac:dyDescent="0.45">
      <c r="A29" t="s">
        <v>130</v>
      </c>
      <c r="B29" t="s">
        <v>2220</v>
      </c>
      <c r="C29" t="s">
        <v>2151</v>
      </c>
      <c r="D29" t="s">
        <v>2172</v>
      </c>
      <c r="E29" t="s">
        <v>2173</v>
      </c>
      <c r="F29" s="4">
        <v>27492.93</v>
      </c>
      <c r="G29" s="4">
        <v>21445.34</v>
      </c>
      <c r="H29" t="s">
        <v>2221</v>
      </c>
      <c r="I29">
        <v>298</v>
      </c>
      <c r="J29">
        <v>30</v>
      </c>
    </row>
    <row r="30" spans="1:10" x14ac:dyDescent="0.45">
      <c r="A30" t="s">
        <v>614</v>
      </c>
      <c r="B30" t="s">
        <v>2222</v>
      </c>
      <c r="C30" t="s">
        <v>2151</v>
      </c>
      <c r="D30" t="s">
        <v>2152</v>
      </c>
      <c r="E30" t="s">
        <v>2153</v>
      </c>
      <c r="F30" s="4">
        <v>6412.69</v>
      </c>
      <c r="G30" s="4">
        <v>4168.9399999999996</v>
      </c>
      <c r="H30" t="s">
        <v>2157</v>
      </c>
      <c r="I30">
        <v>260</v>
      </c>
      <c r="J30">
        <v>30</v>
      </c>
    </row>
    <row r="31" spans="1:10" x14ac:dyDescent="0.45">
      <c r="A31" t="s">
        <v>151</v>
      </c>
      <c r="B31" t="s">
        <v>2223</v>
      </c>
      <c r="C31" t="s">
        <v>2151</v>
      </c>
      <c r="D31" t="s">
        <v>2177</v>
      </c>
      <c r="E31" t="s">
        <v>2166</v>
      </c>
      <c r="F31" s="4">
        <v>9424.41</v>
      </c>
      <c r="G31" s="4">
        <v>7121.45</v>
      </c>
      <c r="H31" t="s">
        <v>2193</v>
      </c>
      <c r="I31">
        <v>440</v>
      </c>
      <c r="J31">
        <v>15</v>
      </c>
    </row>
    <row r="32" spans="1:10" x14ac:dyDescent="0.45">
      <c r="A32" t="s">
        <v>283</v>
      </c>
      <c r="B32" t="s">
        <v>2224</v>
      </c>
      <c r="C32" t="s">
        <v>2180</v>
      </c>
      <c r="D32" t="s">
        <v>2181</v>
      </c>
      <c r="E32" t="s">
        <v>2182</v>
      </c>
      <c r="F32" s="4">
        <v>19991.27</v>
      </c>
      <c r="G32" s="4">
        <v>13889.4</v>
      </c>
      <c r="H32" t="s">
        <v>2174</v>
      </c>
      <c r="I32">
        <v>405</v>
      </c>
      <c r="J32">
        <v>50</v>
      </c>
    </row>
    <row r="33" spans="1:10" x14ac:dyDescent="0.45">
      <c r="A33" t="s">
        <v>410</v>
      </c>
      <c r="B33" t="s">
        <v>2225</v>
      </c>
      <c r="C33" t="s">
        <v>2180</v>
      </c>
      <c r="D33" t="s">
        <v>2181</v>
      </c>
      <c r="E33" t="s">
        <v>2184</v>
      </c>
      <c r="F33" s="4">
        <v>30064.560000000001</v>
      </c>
      <c r="G33" s="4">
        <v>21260.7</v>
      </c>
      <c r="H33" t="s">
        <v>2198</v>
      </c>
      <c r="I33">
        <v>197</v>
      </c>
      <c r="J33">
        <v>30</v>
      </c>
    </row>
    <row r="34" spans="1:10" x14ac:dyDescent="0.45">
      <c r="A34" t="s">
        <v>121</v>
      </c>
      <c r="B34" t="s">
        <v>2226</v>
      </c>
      <c r="C34" t="s">
        <v>2180</v>
      </c>
      <c r="D34" t="s">
        <v>2186</v>
      </c>
      <c r="E34" t="s">
        <v>2187</v>
      </c>
      <c r="F34" s="4">
        <v>38067.4</v>
      </c>
      <c r="G34" s="4">
        <v>27191.78</v>
      </c>
      <c r="H34" t="s">
        <v>2212</v>
      </c>
      <c r="I34">
        <v>270</v>
      </c>
      <c r="J34">
        <v>25</v>
      </c>
    </row>
    <row r="35" spans="1:10" x14ac:dyDescent="0.45">
      <c r="A35" t="s">
        <v>24</v>
      </c>
      <c r="B35" t="s">
        <v>2227</v>
      </c>
      <c r="C35" t="s">
        <v>2180</v>
      </c>
      <c r="D35" t="s">
        <v>2186</v>
      </c>
      <c r="E35" t="s">
        <v>2190</v>
      </c>
      <c r="F35" s="4">
        <v>18999.55</v>
      </c>
      <c r="G35" s="4">
        <v>13300.47</v>
      </c>
      <c r="H35" t="s">
        <v>2154</v>
      </c>
      <c r="I35">
        <v>348</v>
      </c>
      <c r="J35">
        <v>50</v>
      </c>
    </row>
    <row r="36" spans="1:10" x14ac:dyDescent="0.45">
      <c r="A36" t="s">
        <v>312</v>
      </c>
      <c r="B36" t="s">
        <v>2228</v>
      </c>
      <c r="C36" t="s">
        <v>2180</v>
      </c>
      <c r="D36" t="s">
        <v>2177</v>
      </c>
      <c r="E36" t="s">
        <v>2190</v>
      </c>
      <c r="F36" s="4">
        <v>13638.08</v>
      </c>
      <c r="G36" s="4">
        <v>9232.64</v>
      </c>
      <c r="H36" t="s">
        <v>2161</v>
      </c>
      <c r="I36">
        <v>384</v>
      </c>
      <c r="J36">
        <v>25</v>
      </c>
    </row>
    <row r="37" spans="1:10" x14ac:dyDescent="0.45">
      <c r="A37" t="s">
        <v>205</v>
      </c>
      <c r="B37" t="s">
        <v>2229</v>
      </c>
      <c r="C37" t="s">
        <v>2195</v>
      </c>
      <c r="D37" t="s">
        <v>2196</v>
      </c>
      <c r="E37" t="s">
        <v>2197</v>
      </c>
      <c r="F37" s="4">
        <v>24231.63</v>
      </c>
      <c r="G37" s="4">
        <v>18725.29</v>
      </c>
      <c r="H37" t="s">
        <v>2217</v>
      </c>
      <c r="I37">
        <v>57</v>
      </c>
      <c r="J37">
        <v>25</v>
      </c>
    </row>
    <row r="38" spans="1:10" x14ac:dyDescent="0.45">
      <c r="A38" t="s">
        <v>106</v>
      </c>
      <c r="B38" t="s">
        <v>2230</v>
      </c>
      <c r="C38" t="s">
        <v>2195</v>
      </c>
      <c r="D38" t="s">
        <v>2196</v>
      </c>
      <c r="E38" t="s">
        <v>2200</v>
      </c>
      <c r="F38" s="4">
        <v>20419.77</v>
      </c>
      <c r="G38" s="4">
        <v>15261.89</v>
      </c>
      <c r="H38" t="s">
        <v>2212</v>
      </c>
      <c r="I38">
        <v>1</v>
      </c>
      <c r="J38">
        <v>50</v>
      </c>
    </row>
    <row r="39" spans="1:10" x14ac:dyDescent="0.45">
      <c r="A39" t="s">
        <v>65</v>
      </c>
      <c r="B39" t="s">
        <v>2231</v>
      </c>
      <c r="C39" t="s">
        <v>2195</v>
      </c>
      <c r="D39" t="s">
        <v>2202</v>
      </c>
      <c r="E39" t="s">
        <v>2203</v>
      </c>
      <c r="F39" s="4">
        <v>12209.64</v>
      </c>
      <c r="G39" s="4">
        <v>8991.5499999999993</v>
      </c>
      <c r="H39" t="s">
        <v>2170</v>
      </c>
      <c r="I39">
        <v>256</v>
      </c>
      <c r="J39">
        <v>20</v>
      </c>
    </row>
    <row r="40" spans="1:10" x14ac:dyDescent="0.45">
      <c r="A40" t="s">
        <v>391</v>
      </c>
      <c r="B40" t="s">
        <v>2232</v>
      </c>
      <c r="C40" t="s">
        <v>2205</v>
      </c>
      <c r="D40" t="s">
        <v>2206</v>
      </c>
      <c r="E40" t="s">
        <v>2207</v>
      </c>
      <c r="F40" s="4">
        <v>9724.4500000000007</v>
      </c>
      <c r="G40" s="4">
        <v>6699.81</v>
      </c>
      <c r="H40" t="s">
        <v>2233</v>
      </c>
      <c r="I40">
        <v>445</v>
      </c>
      <c r="J40">
        <v>50</v>
      </c>
    </row>
    <row r="41" spans="1:10" x14ac:dyDescent="0.45">
      <c r="A41" t="s">
        <v>320</v>
      </c>
      <c r="B41" t="s">
        <v>2234</v>
      </c>
      <c r="C41" t="s">
        <v>2205</v>
      </c>
      <c r="D41" t="s">
        <v>2209</v>
      </c>
      <c r="E41" t="s">
        <v>2210</v>
      </c>
      <c r="F41" s="4">
        <v>35106.83</v>
      </c>
      <c r="G41" s="4">
        <v>26384.11</v>
      </c>
      <c r="H41" t="s">
        <v>2235</v>
      </c>
      <c r="I41">
        <v>311</v>
      </c>
      <c r="J41">
        <v>20</v>
      </c>
    </row>
    <row r="42" spans="1:10" x14ac:dyDescent="0.45">
      <c r="A42" t="s">
        <v>88</v>
      </c>
      <c r="B42" t="s">
        <v>2236</v>
      </c>
      <c r="C42" t="s">
        <v>2151</v>
      </c>
      <c r="D42" t="s">
        <v>2152</v>
      </c>
      <c r="E42" t="s">
        <v>2153</v>
      </c>
      <c r="F42" s="4">
        <v>1682.22</v>
      </c>
      <c r="G42" s="4">
        <v>1066.1199999999999</v>
      </c>
      <c r="H42" t="s">
        <v>2174</v>
      </c>
      <c r="I42">
        <v>276</v>
      </c>
      <c r="J42">
        <v>40</v>
      </c>
    </row>
    <row r="43" spans="1:10" x14ac:dyDescent="0.45">
      <c r="A43" t="s">
        <v>135</v>
      </c>
      <c r="B43" t="s">
        <v>2237</v>
      </c>
      <c r="C43" t="s">
        <v>2151</v>
      </c>
      <c r="D43" t="s">
        <v>2152</v>
      </c>
      <c r="E43" t="s">
        <v>2156</v>
      </c>
      <c r="F43" s="4">
        <v>8283.17</v>
      </c>
      <c r="G43" s="4">
        <v>5799.05</v>
      </c>
      <c r="H43" t="s">
        <v>2217</v>
      </c>
      <c r="I43">
        <v>250</v>
      </c>
      <c r="J43">
        <v>15</v>
      </c>
    </row>
    <row r="44" spans="1:10" x14ac:dyDescent="0.45">
      <c r="A44" t="s">
        <v>148</v>
      </c>
      <c r="B44" t="s">
        <v>2238</v>
      </c>
      <c r="C44" t="s">
        <v>2151</v>
      </c>
      <c r="D44" t="s">
        <v>2159</v>
      </c>
      <c r="E44" t="s">
        <v>2160</v>
      </c>
      <c r="F44" s="4">
        <v>72730.59</v>
      </c>
      <c r="G44" s="4">
        <v>58744.84</v>
      </c>
      <c r="H44" t="s">
        <v>2191</v>
      </c>
      <c r="I44">
        <v>449</v>
      </c>
      <c r="J44">
        <v>25</v>
      </c>
    </row>
    <row r="45" spans="1:10" x14ac:dyDescent="0.45">
      <c r="A45" t="s">
        <v>57</v>
      </c>
      <c r="B45" t="s">
        <v>2239</v>
      </c>
      <c r="C45" t="s">
        <v>2151</v>
      </c>
      <c r="D45" t="s">
        <v>2159</v>
      </c>
      <c r="E45" t="s">
        <v>2163</v>
      </c>
      <c r="F45" s="4">
        <v>89202.21</v>
      </c>
      <c r="G45" s="4">
        <v>72830.570000000007</v>
      </c>
      <c r="H45" t="s">
        <v>2240</v>
      </c>
      <c r="I45">
        <v>449</v>
      </c>
      <c r="J45">
        <v>40</v>
      </c>
    </row>
    <row r="46" spans="1:10" x14ac:dyDescent="0.45">
      <c r="A46" t="s">
        <v>170</v>
      </c>
      <c r="B46" t="s">
        <v>2241</v>
      </c>
      <c r="C46" t="s">
        <v>2151</v>
      </c>
      <c r="D46" t="s">
        <v>2165</v>
      </c>
      <c r="E46" t="s">
        <v>2166</v>
      </c>
      <c r="F46" s="4">
        <v>27271.200000000001</v>
      </c>
      <c r="G46" s="4">
        <v>21106.46</v>
      </c>
      <c r="H46" t="s">
        <v>2198</v>
      </c>
      <c r="I46">
        <v>374</v>
      </c>
      <c r="J46">
        <v>30</v>
      </c>
    </row>
    <row r="47" spans="1:10" x14ac:dyDescent="0.45">
      <c r="A47" t="s">
        <v>158</v>
      </c>
      <c r="B47" t="s">
        <v>2242</v>
      </c>
      <c r="C47" t="s">
        <v>2151</v>
      </c>
      <c r="D47" t="s">
        <v>2165</v>
      </c>
      <c r="E47" t="s">
        <v>2168</v>
      </c>
      <c r="F47" s="4">
        <v>18803.330000000002</v>
      </c>
      <c r="G47" s="4">
        <v>14220.91</v>
      </c>
      <c r="H47" t="s">
        <v>2161</v>
      </c>
      <c r="I47">
        <v>392</v>
      </c>
      <c r="J47">
        <v>20</v>
      </c>
    </row>
    <row r="48" spans="1:10" x14ac:dyDescent="0.45">
      <c r="A48" t="s">
        <v>202</v>
      </c>
      <c r="B48" t="s">
        <v>2243</v>
      </c>
      <c r="C48" t="s">
        <v>2151</v>
      </c>
      <c r="D48" t="s">
        <v>2152</v>
      </c>
      <c r="E48" t="s">
        <v>2163</v>
      </c>
      <c r="F48" s="4">
        <v>13442.14</v>
      </c>
      <c r="G48" s="4">
        <v>9634.33</v>
      </c>
      <c r="H48" t="s">
        <v>2244</v>
      </c>
      <c r="I48">
        <v>281</v>
      </c>
      <c r="J48">
        <v>20</v>
      </c>
    </row>
    <row r="49" spans="1:10" x14ac:dyDescent="0.45">
      <c r="A49" t="s">
        <v>139</v>
      </c>
      <c r="B49" t="s">
        <v>2245</v>
      </c>
      <c r="C49" t="s">
        <v>2151</v>
      </c>
      <c r="D49" t="s">
        <v>2172</v>
      </c>
      <c r="E49" t="s">
        <v>2173</v>
      </c>
      <c r="F49" s="4">
        <v>28278.98</v>
      </c>
      <c r="G49" s="4">
        <v>22058.49</v>
      </c>
      <c r="H49" t="s">
        <v>2221</v>
      </c>
      <c r="I49">
        <v>108</v>
      </c>
      <c r="J49">
        <v>40</v>
      </c>
    </row>
    <row r="50" spans="1:10" x14ac:dyDescent="0.45">
      <c r="A50" t="s">
        <v>161</v>
      </c>
      <c r="B50" t="s">
        <v>2246</v>
      </c>
      <c r="C50" t="s">
        <v>2151</v>
      </c>
      <c r="D50" t="s">
        <v>2152</v>
      </c>
      <c r="E50" t="s">
        <v>2153</v>
      </c>
      <c r="F50" s="4">
        <v>7021.36</v>
      </c>
      <c r="G50" s="4">
        <v>4564.6400000000003</v>
      </c>
      <c r="H50" t="s">
        <v>2247</v>
      </c>
      <c r="I50">
        <v>365</v>
      </c>
      <c r="J50">
        <v>25</v>
      </c>
    </row>
    <row r="51" spans="1:10" x14ac:dyDescent="0.45">
      <c r="A51" t="s">
        <v>456</v>
      </c>
      <c r="B51" t="s">
        <v>2248</v>
      </c>
      <c r="C51" t="s">
        <v>2151</v>
      </c>
      <c r="D51" t="s">
        <v>2177</v>
      </c>
      <c r="E51" t="s">
        <v>2166</v>
      </c>
      <c r="F51" s="4">
        <v>10276.129999999999</v>
      </c>
      <c r="G51" s="4">
        <v>7765.05</v>
      </c>
      <c r="H51" t="s">
        <v>2191</v>
      </c>
      <c r="I51">
        <v>224</v>
      </c>
      <c r="J51">
        <v>40</v>
      </c>
    </row>
    <row r="52" spans="1:10" x14ac:dyDescent="0.45">
      <c r="A52" t="s">
        <v>318</v>
      </c>
      <c r="B52" t="s">
        <v>2249</v>
      </c>
      <c r="C52" t="s">
        <v>2180</v>
      </c>
      <c r="D52" t="s">
        <v>2181</v>
      </c>
      <c r="E52" t="s">
        <v>2182</v>
      </c>
      <c r="F52" s="4">
        <v>21775.11</v>
      </c>
      <c r="G52" s="4">
        <v>15128.77</v>
      </c>
      <c r="H52" t="s">
        <v>2240</v>
      </c>
      <c r="I52">
        <v>115</v>
      </c>
      <c r="J52">
        <v>15</v>
      </c>
    </row>
    <row r="53" spans="1:10" x14ac:dyDescent="0.45">
      <c r="A53" t="s">
        <v>380</v>
      </c>
      <c r="B53" t="s">
        <v>2250</v>
      </c>
      <c r="C53" t="s">
        <v>2180</v>
      </c>
      <c r="D53" t="s">
        <v>2181</v>
      </c>
      <c r="E53" t="s">
        <v>2184</v>
      </c>
      <c r="F53" s="4">
        <v>31836.17</v>
      </c>
      <c r="G53" s="4">
        <v>22513.53</v>
      </c>
      <c r="H53" t="s">
        <v>2161</v>
      </c>
      <c r="I53">
        <v>117</v>
      </c>
      <c r="J53">
        <v>40</v>
      </c>
    </row>
    <row r="54" spans="1:10" x14ac:dyDescent="0.45">
      <c r="A54" t="s">
        <v>68</v>
      </c>
      <c r="B54" t="s">
        <v>2251</v>
      </c>
      <c r="C54" t="s">
        <v>2180</v>
      </c>
      <c r="D54" t="s">
        <v>2186</v>
      </c>
      <c r="E54" t="s">
        <v>2187</v>
      </c>
      <c r="F54" s="4">
        <v>39465.480000000003</v>
      </c>
      <c r="G54" s="4">
        <v>28190.43</v>
      </c>
      <c r="H54" t="s">
        <v>2198</v>
      </c>
      <c r="I54">
        <v>362</v>
      </c>
      <c r="J54">
        <v>50</v>
      </c>
    </row>
    <row r="55" spans="1:10" x14ac:dyDescent="0.45">
      <c r="A55" t="s">
        <v>230</v>
      </c>
      <c r="B55" t="s">
        <v>2252</v>
      </c>
      <c r="C55" t="s">
        <v>2180</v>
      </c>
      <c r="D55" t="s">
        <v>2186</v>
      </c>
      <c r="E55" t="s">
        <v>2190</v>
      </c>
      <c r="F55" s="4">
        <v>18948.95</v>
      </c>
      <c r="G55" s="4">
        <v>13265.05</v>
      </c>
      <c r="H55" t="s">
        <v>2198</v>
      </c>
      <c r="I55">
        <v>16</v>
      </c>
      <c r="J55">
        <v>25</v>
      </c>
    </row>
    <row r="56" spans="1:10" x14ac:dyDescent="0.45">
      <c r="A56" t="s">
        <v>295</v>
      </c>
      <c r="B56" t="s">
        <v>2253</v>
      </c>
      <c r="C56" t="s">
        <v>2180</v>
      </c>
      <c r="D56" t="s">
        <v>2177</v>
      </c>
      <c r="E56" t="s">
        <v>2190</v>
      </c>
      <c r="F56" s="4">
        <v>14502.58</v>
      </c>
      <c r="G56" s="4">
        <v>9817.8799999999992</v>
      </c>
      <c r="H56" t="s">
        <v>2240</v>
      </c>
      <c r="I56">
        <v>142</v>
      </c>
      <c r="J56">
        <v>50</v>
      </c>
    </row>
    <row r="57" spans="1:10" x14ac:dyDescent="0.45">
      <c r="A57" t="s">
        <v>235</v>
      </c>
      <c r="B57" t="s">
        <v>2254</v>
      </c>
      <c r="C57" t="s">
        <v>2195</v>
      </c>
      <c r="D57" t="s">
        <v>2196</v>
      </c>
      <c r="E57" t="s">
        <v>2197</v>
      </c>
      <c r="F57" s="4">
        <v>25273.18</v>
      </c>
      <c r="G57" s="4">
        <v>19530.16</v>
      </c>
      <c r="H57" t="s">
        <v>2161</v>
      </c>
      <c r="I57">
        <v>67</v>
      </c>
      <c r="J57">
        <v>50</v>
      </c>
    </row>
    <row r="58" spans="1:10" x14ac:dyDescent="0.45">
      <c r="A58" t="s">
        <v>500</v>
      </c>
      <c r="B58" t="s">
        <v>2255</v>
      </c>
      <c r="C58" t="s">
        <v>2195</v>
      </c>
      <c r="D58" t="s">
        <v>2196</v>
      </c>
      <c r="E58" t="s">
        <v>2200</v>
      </c>
      <c r="F58" s="4">
        <v>22510.799999999999</v>
      </c>
      <c r="G58" s="4">
        <v>16824.740000000002</v>
      </c>
      <c r="H58" t="s">
        <v>2244</v>
      </c>
      <c r="I58">
        <v>124</v>
      </c>
      <c r="J58">
        <v>30</v>
      </c>
    </row>
    <row r="59" spans="1:10" x14ac:dyDescent="0.45">
      <c r="A59" t="s">
        <v>62</v>
      </c>
      <c r="B59" t="s">
        <v>2256</v>
      </c>
      <c r="C59" t="s">
        <v>2195</v>
      </c>
      <c r="D59" t="s">
        <v>2202</v>
      </c>
      <c r="E59" t="s">
        <v>2203</v>
      </c>
      <c r="F59" s="4">
        <v>12919.42</v>
      </c>
      <c r="G59" s="4">
        <v>9514.26</v>
      </c>
      <c r="H59" t="s">
        <v>2247</v>
      </c>
      <c r="I59">
        <v>48</v>
      </c>
      <c r="J59">
        <v>15</v>
      </c>
    </row>
    <row r="60" spans="1:10" x14ac:dyDescent="0.45">
      <c r="A60" t="s">
        <v>75</v>
      </c>
      <c r="B60" t="s">
        <v>2257</v>
      </c>
      <c r="C60" t="s">
        <v>2205</v>
      </c>
      <c r="D60" t="s">
        <v>2206</v>
      </c>
      <c r="E60" t="s">
        <v>2207</v>
      </c>
      <c r="F60" s="4">
        <v>10463.299999999999</v>
      </c>
      <c r="G60" s="4">
        <v>7208.86</v>
      </c>
      <c r="H60" t="s">
        <v>2191</v>
      </c>
      <c r="I60">
        <v>216</v>
      </c>
      <c r="J60">
        <v>30</v>
      </c>
    </row>
    <row r="61" spans="1:10" x14ac:dyDescent="0.45">
      <c r="A61" t="s">
        <v>449</v>
      </c>
      <c r="B61" t="s">
        <v>2258</v>
      </c>
      <c r="C61" t="s">
        <v>2205</v>
      </c>
      <c r="D61" t="s">
        <v>2209</v>
      </c>
      <c r="E61" t="s">
        <v>2210</v>
      </c>
      <c r="F61" s="4">
        <v>37861.800000000003</v>
      </c>
      <c r="G61" s="4">
        <v>28454.58</v>
      </c>
      <c r="H61" t="s">
        <v>2193</v>
      </c>
      <c r="I61">
        <v>344</v>
      </c>
      <c r="J61">
        <v>50</v>
      </c>
    </row>
    <row r="62" spans="1:10" x14ac:dyDescent="0.45">
      <c r="A62" t="s">
        <v>280</v>
      </c>
      <c r="B62" t="s">
        <v>2259</v>
      </c>
      <c r="C62" t="s">
        <v>2151</v>
      </c>
      <c r="D62" t="s">
        <v>2152</v>
      </c>
      <c r="E62" t="s">
        <v>2153</v>
      </c>
      <c r="F62" s="4">
        <v>1886.84</v>
      </c>
      <c r="G62" s="4">
        <v>1195.8</v>
      </c>
      <c r="H62" t="s">
        <v>2233</v>
      </c>
      <c r="I62">
        <v>31</v>
      </c>
      <c r="J62">
        <v>30</v>
      </c>
    </row>
    <row r="63" spans="1:10" x14ac:dyDescent="0.45">
      <c r="A63" t="s">
        <v>238</v>
      </c>
      <c r="B63" t="s">
        <v>2260</v>
      </c>
      <c r="C63" t="s">
        <v>2151</v>
      </c>
      <c r="D63" t="s">
        <v>2152</v>
      </c>
      <c r="E63" t="s">
        <v>2156</v>
      </c>
      <c r="F63" s="4">
        <v>8666.56</v>
      </c>
      <c r="G63" s="4">
        <v>6067.46</v>
      </c>
      <c r="H63" t="s">
        <v>2233</v>
      </c>
      <c r="I63">
        <v>127</v>
      </c>
      <c r="J63">
        <v>20</v>
      </c>
    </row>
    <row r="64" spans="1:10" x14ac:dyDescent="0.45">
      <c r="A64" t="s">
        <v>210</v>
      </c>
      <c r="B64" t="s">
        <v>2261</v>
      </c>
      <c r="C64" t="s">
        <v>2151</v>
      </c>
      <c r="D64" t="s">
        <v>2159</v>
      </c>
      <c r="E64" t="s">
        <v>2160</v>
      </c>
      <c r="F64" s="4">
        <v>77687.89</v>
      </c>
      <c r="G64" s="4">
        <v>62748.88</v>
      </c>
      <c r="H64" t="s">
        <v>2212</v>
      </c>
      <c r="I64">
        <v>71</v>
      </c>
      <c r="J64">
        <v>30</v>
      </c>
    </row>
    <row r="65" spans="1:10" x14ac:dyDescent="0.45">
      <c r="A65" t="s">
        <v>365</v>
      </c>
      <c r="B65" t="s">
        <v>2262</v>
      </c>
      <c r="C65" t="s">
        <v>2151</v>
      </c>
      <c r="D65" t="s">
        <v>2159</v>
      </c>
      <c r="E65" t="s">
        <v>2163</v>
      </c>
      <c r="F65" s="4">
        <v>94378.45</v>
      </c>
      <c r="G65" s="4">
        <v>77056.800000000003</v>
      </c>
      <c r="H65" t="s">
        <v>2212</v>
      </c>
      <c r="I65">
        <v>127</v>
      </c>
      <c r="J65">
        <v>15</v>
      </c>
    </row>
    <row r="66" spans="1:10" x14ac:dyDescent="0.45">
      <c r="A66" t="s">
        <v>233</v>
      </c>
      <c r="B66" t="s">
        <v>2263</v>
      </c>
      <c r="C66" t="s">
        <v>2151</v>
      </c>
      <c r="D66" t="s">
        <v>2165</v>
      </c>
      <c r="E66" t="s">
        <v>2166</v>
      </c>
      <c r="F66" s="4">
        <v>27954.15</v>
      </c>
      <c r="G66" s="4">
        <v>21635.02</v>
      </c>
      <c r="H66" t="s">
        <v>2161</v>
      </c>
      <c r="I66">
        <v>50</v>
      </c>
      <c r="J66">
        <v>15</v>
      </c>
    </row>
    <row r="67" spans="1:10" x14ac:dyDescent="0.45">
      <c r="A67" t="s">
        <v>118</v>
      </c>
      <c r="B67" t="s">
        <v>2264</v>
      </c>
      <c r="C67" t="s">
        <v>2151</v>
      </c>
      <c r="D67" t="s">
        <v>2165</v>
      </c>
      <c r="E67" t="s">
        <v>2168</v>
      </c>
      <c r="F67" s="4">
        <v>19713.509999999998</v>
      </c>
      <c r="G67" s="4">
        <v>14909.28</v>
      </c>
      <c r="H67" t="s">
        <v>2161</v>
      </c>
      <c r="I67">
        <v>428</v>
      </c>
      <c r="J67">
        <v>15</v>
      </c>
    </row>
    <row r="68" spans="1:10" x14ac:dyDescent="0.45">
      <c r="A68" t="s">
        <v>126</v>
      </c>
      <c r="B68" t="s">
        <v>2265</v>
      </c>
      <c r="C68" t="s">
        <v>2151</v>
      </c>
      <c r="D68" t="s">
        <v>2152</v>
      </c>
      <c r="E68" t="s">
        <v>2163</v>
      </c>
      <c r="F68" s="4">
        <v>15088.98</v>
      </c>
      <c r="G68" s="4">
        <v>10814.67</v>
      </c>
      <c r="H68" t="s">
        <v>2240</v>
      </c>
      <c r="I68">
        <v>85</v>
      </c>
      <c r="J68">
        <v>30</v>
      </c>
    </row>
    <row r="69" spans="1:10" x14ac:dyDescent="0.45">
      <c r="A69" t="s">
        <v>404</v>
      </c>
      <c r="B69" t="s">
        <v>2266</v>
      </c>
      <c r="C69" t="s">
        <v>2151</v>
      </c>
      <c r="D69" t="s">
        <v>2172</v>
      </c>
      <c r="E69" t="s">
        <v>2173</v>
      </c>
      <c r="F69" s="4">
        <v>30470.06</v>
      </c>
      <c r="G69" s="4">
        <v>23767.599999999999</v>
      </c>
      <c r="H69" t="s">
        <v>2247</v>
      </c>
      <c r="I69">
        <v>442</v>
      </c>
      <c r="J69">
        <v>30</v>
      </c>
    </row>
    <row r="70" spans="1:10" x14ac:dyDescent="0.45">
      <c r="A70" t="s">
        <v>272</v>
      </c>
      <c r="B70" t="s">
        <v>2267</v>
      </c>
      <c r="C70" t="s">
        <v>2151</v>
      </c>
      <c r="D70" t="s">
        <v>2152</v>
      </c>
      <c r="E70" t="s">
        <v>2153</v>
      </c>
      <c r="F70" s="4">
        <v>7511.92</v>
      </c>
      <c r="G70" s="4">
        <v>4883.5600000000004</v>
      </c>
      <c r="H70" t="s">
        <v>2174</v>
      </c>
      <c r="I70">
        <v>194</v>
      </c>
      <c r="J70">
        <v>15</v>
      </c>
    </row>
    <row r="71" spans="1:10" x14ac:dyDescent="0.45">
      <c r="A71" t="s">
        <v>164</v>
      </c>
      <c r="B71" t="s">
        <v>2268</v>
      </c>
      <c r="C71" t="s">
        <v>2151</v>
      </c>
      <c r="D71" t="s">
        <v>2177</v>
      </c>
      <c r="E71" t="s">
        <v>2166</v>
      </c>
      <c r="F71" s="4">
        <v>11328.16</v>
      </c>
      <c r="G71" s="4">
        <v>8560.01</v>
      </c>
      <c r="H71" t="s">
        <v>2170</v>
      </c>
      <c r="I71">
        <v>401</v>
      </c>
      <c r="J71">
        <v>30</v>
      </c>
    </row>
    <row r="72" spans="1:10" x14ac:dyDescent="0.45">
      <c r="A72" t="s">
        <v>43</v>
      </c>
      <c r="B72" t="s">
        <v>2269</v>
      </c>
      <c r="C72" t="s">
        <v>2180</v>
      </c>
      <c r="D72" t="s">
        <v>2181</v>
      </c>
      <c r="E72" t="s">
        <v>2182</v>
      </c>
      <c r="F72" s="4">
        <v>22852.38</v>
      </c>
      <c r="G72" s="4">
        <v>15877.22</v>
      </c>
      <c r="H72" t="s">
        <v>2161</v>
      </c>
      <c r="I72">
        <v>338</v>
      </c>
      <c r="J72">
        <v>50</v>
      </c>
    </row>
    <row r="73" spans="1:10" x14ac:dyDescent="0.45">
      <c r="A73" t="s">
        <v>502</v>
      </c>
      <c r="B73" t="s">
        <v>2270</v>
      </c>
      <c r="C73" t="s">
        <v>2180</v>
      </c>
      <c r="D73" t="s">
        <v>2181</v>
      </c>
      <c r="E73" t="s">
        <v>2184</v>
      </c>
      <c r="F73" s="4">
        <v>34128.93</v>
      </c>
      <c r="G73" s="4">
        <v>24134.89</v>
      </c>
      <c r="H73" t="s">
        <v>2247</v>
      </c>
      <c r="I73">
        <v>151</v>
      </c>
      <c r="J73">
        <v>20</v>
      </c>
    </row>
    <row r="74" spans="1:10" x14ac:dyDescent="0.45">
      <c r="A74" t="s">
        <v>196</v>
      </c>
      <c r="B74" t="s">
        <v>2271</v>
      </c>
      <c r="C74" t="s">
        <v>2180</v>
      </c>
      <c r="D74" t="s">
        <v>2186</v>
      </c>
      <c r="E74" t="s">
        <v>2187</v>
      </c>
      <c r="F74" s="4">
        <v>44011.13</v>
      </c>
      <c r="G74" s="4">
        <v>31437.42</v>
      </c>
      <c r="H74" t="s">
        <v>2161</v>
      </c>
      <c r="I74">
        <v>31</v>
      </c>
      <c r="J74">
        <v>50</v>
      </c>
    </row>
    <row r="75" spans="1:10" x14ac:dyDescent="0.45">
      <c r="A75" t="s">
        <v>94</v>
      </c>
      <c r="B75" t="s">
        <v>2272</v>
      </c>
      <c r="C75" t="s">
        <v>2180</v>
      </c>
      <c r="D75" t="s">
        <v>2186</v>
      </c>
      <c r="E75" t="s">
        <v>2190</v>
      </c>
      <c r="F75" s="4">
        <v>20485.3</v>
      </c>
      <c r="G75" s="4">
        <v>14340.55</v>
      </c>
      <c r="H75" t="s">
        <v>2193</v>
      </c>
      <c r="I75">
        <v>299</v>
      </c>
      <c r="J75">
        <v>30</v>
      </c>
    </row>
    <row r="76" spans="1:10" x14ac:dyDescent="0.45">
      <c r="A76" t="s">
        <v>78</v>
      </c>
      <c r="B76" t="s">
        <v>2273</v>
      </c>
      <c r="C76" t="s">
        <v>2180</v>
      </c>
      <c r="D76" t="s">
        <v>2177</v>
      </c>
      <c r="E76" t="s">
        <v>2190</v>
      </c>
      <c r="F76" s="4">
        <v>15861.74</v>
      </c>
      <c r="G76" s="4">
        <v>10738.01</v>
      </c>
      <c r="H76" t="s">
        <v>2235</v>
      </c>
      <c r="I76">
        <v>80</v>
      </c>
      <c r="J76">
        <v>15</v>
      </c>
    </row>
    <row r="77" spans="1:10" x14ac:dyDescent="0.45">
      <c r="A77" t="s">
        <v>191</v>
      </c>
      <c r="B77" t="s">
        <v>2274</v>
      </c>
      <c r="C77" t="s">
        <v>2195</v>
      </c>
      <c r="D77" t="s">
        <v>2196</v>
      </c>
      <c r="E77" t="s">
        <v>2197</v>
      </c>
      <c r="F77" s="4">
        <v>27649.71</v>
      </c>
      <c r="G77" s="4">
        <v>21366.66</v>
      </c>
      <c r="H77" t="s">
        <v>2198</v>
      </c>
      <c r="I77">
        <v>435</v>
      </c>
      <c r="J77">
        <v>20</v>
      </c>
    </row>
    <row r="78" spans="1:10" x14ac:dyDescent="0.45">
      <c r="A78" t="s">
        <v>81</v>
      </c>
      <c r="B78" t="s">
        <v>2275</v>
      </c>
      <c r="C78" t="s">
        <v>2195</v>
      </c>
      <c r="D78" t="s">
        <v>2196</v>
      </c>
      <c r="E78" t="s">
        <v>2200</v>
      </c>
      <c r="F78" s="4">
        <v>22522.97</v>
      </c>
      <c r="G78" s="4">
        <v>16833.84</v>
      </c>
      <c r="H78" t="s">
        <v>2198</v>
      </c>
      <c r="I78">
        <v>345</v>
      </c>
      <c r="J78">
        <v>20</v>
      </c>
    </row>
    <row r="79" spans="1:10" x14ac:dyDescent="0.45">
      <c r="A79" t="s">
        <v>114</v>
      </c>
      <c r="B79" t="s">
        <v>2276</v>
      </c>
      <c r="C79" t="s">
        <v>2195</v>
      </c>
      <c r="D79" t="s">
        <v>2202</v>
      </c>
      <c r="E79" t="s">
        <v>2203</v>
      </c>
      <c r="F79" s="4">
        <v>13334.11</v>
      </c>
      <c r="G79" s="4">
        <v>9819.65</v>
      </c>
      <c r="H79" t="s">
        <v>2240</v>
      </c>
      <c r="I79">
        <v>296</v>
      </c>
      <c r="J79">
        <v>40</v>
      </c>
    </row>
    <row r="80" spans="1:10" x14ac:dyDescent="0.45">
      <c r="A80" t="s">
        <v>34</v>
      </c>
      <c r="B80" t="s">
        <v>2277</v>
      </c>
      <c r="C80" t="s">
        <v>2205</v>
      </c>
      <c r="D80" t="s">
        <v>2206</v>
      </c>
      <c r="E80" t="s">
        <v>2207</v>
      </c>
      <c r="F80" s="4">
        <v>10647.43</v>
      </c>
      <c r="G80" s="4">
        <v>7335.71</v>
      </c>
      <c r="H80" t="s">
        <v>2198</v>
      </c>
      <c r="I80">
        <v>214</v>
      </c>
      <c r="J80">
        <v>50</v>
      </c>
    </row>
    <row r="81" spans="1:10" x14ac:dyDescent="0.45">
      <c r="A81" t="s">
        <v>30</v>
      </c>
      <c r="B81" t="s">
        <v>2278</v>
      </c>
      <c r="C81" t="s">
        <v>2205</v>
      </c>
      <c r="D81" t="s">
        <v>2209</v>
      </c>
      <c r="E81" t="s">
        <v>2210</v>
      </c>
      <c r="F81" s="4">
        <v>40479.67</v>
      </c>
      <c r="G81" s="4">
        <v>30422.01</v>
      </c>
      <c r="H81" t="s">
        <v>2235</v>
      </c>
      <c r="I81">
        <v>161</v>
      </c>
      <c r="J81">
        <v>25</v>
      </c>
    </row>
  </sheetData>
  <autoFilter ref="A1:J8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2587-B87A-449F-8853-09659DB26CFF}">
  <dimension ref="A1:B81"/>
  <sheetViews>
    <sheetView zoomScale="175" zoomScaleNormal="175" workbookViewId="0">
      <selection activeCell="B2" sqref="B2:B81"/>
    </sheetView>
  </sheetViews>
  <sheetFormatPr defaultRowHeight="14.25" x14ac:dyDescent="0.45"/>
  <sheetData>
    <row r="1" spans="1:2" x14ac:dyDescent="0.45">
      <c r="A1" s="1" t="s">
        <v>3</v>
      </c>
      <c r="B1" t="s">
        <v>2739</v>
      </c>
    </row>
    <row r="2" spans="1:2" x14ac:dyDescent="0.45">
      <c r="A2" t="s">
        <v>256</v>
      </c>
      <c r="B2" t="str">
        <f>VLOOKUP(A2,Product_Master!$A$1:$J$81,2,FALSE)</f>
        <v>Wireless Mouse Pro</v>
      </c>
    </row>
    <row r="3" spans="1:2" x14ac:dyDescent="0.45">
      <c r="A3" t="s">
        <v>110</v>
      </c>
      <c r="B3" t="str">
        <f>VLOOKUP(A3,Product_Master!$A$1:$J$81,2,FALSE)</f>
        <v>Mechanical Keyboard</v>
      </c>
    </row>
    <row r="4" spans="1:2" x14ac:dyDescent="0.45">
      <c r="A4" t="s">
        <v>217</v>
      </c>
      <c r="B4" t="str">
        <f>VLOOKUP(A4,Product_Master!$A$1:$J$81,2,FALSE)</f>
        <v>Business Laptop 14</v>
      </c>
    </row>
    <row r="5" spans="1:2" x14ac:dyDescent="0.45">
      <c r="A5" t="s">
        <v>19</v>
      </c>
      <c r="B5" t="str">
        <f>VLOOKUP(A5,Product_Master!$A$1:$J$81,2,FALSE)</f>
        <v>Ultrabook 13</v>
      </c>
    </row>
    <row r="6" spans="1:2" x14ac:dyDescent="0.45">
      <c r="A6" t="s">
        <v>51</v>
      </c>
      <c r="B6" t="str">
        <f>VLOOKUP(A6,Product_Master!$A$1:$J$81,2,FALSE)</f>
        <v>27-inch Monitor</v>
      </c>
    </row>
    <row r="7" spans="1:2" x14ac:dyDescent="0.45">
      <c r="A7" t="s">
        <v>348</v>
      </c>
      <c r="B7" t="str">
        <f>VLOOKUP(A7,Product_Master!$A$1:$J$81,2,FALSE)</f>
        <v>24-inch Monitor</v>
      </c>
    </row>
    <row r="8" spans="1:2" x14ac:dyDescent="0.45">
      <c r="A8" t="s">
        <v>529</v>
      </c>
      <c r="B8" t="str">
        <f>VLOOKUP(A8,Product_Master!$A$1:$J$81,2,FALSE)</f>
        <v>USB-C Dock</v>
      </c>
    </row>
    <row r="9" spans="1:2" x14ac:dyDescent="0.45">
      <c r="A9" t="s">
        <v>221</v>
      </c>
      <c r="B9" t="str">
        <f>VLOOKUP(A9,Product_Master!$A$1:$J$81,2,FALSE)</f>
        <v>Noise Cancelling Headphones</v>
      </c>
    </row>
    <row r="10" spans="1:2" x14ac:dyDescent="0.45">
      <c r="A10" t="s">
        <v>277</v>
      </c>
      <c r="B10" t="str">
        <f>VLOOKUP(A10,Product_Master!$A$1:$J$81,2,FALSE)</f>
        <v>Webcam HD</v>
      </c>
    </row>
    <row r="11" spans="1:2" x14ac:dyDescent="0.45">
      <c r="A11" t="s">
        <v>39</v>
      </c>
      <c r="B11" t="str">
        <f>VLOOKUP(A11,Product_Master!$A$1:$J$81,2,FALSE)</f>
        <v>External SSD 1TB</v>
      </c>
    </row>
    <row r="12" spans="1:2" x14ac:dyDescent="0.45">
      <c r="A12" t="s">
        <v>241</v>
      </c>
      <c r="B12" t="str">
        <f>VLOOKUP(A12,Product_Master!$A$1:$J$81,2,FALSE)</f>
        <v>Office Chair Ergo</v>
      </c>
    </row>
    <row r="13" spans="1:2" x14ac:dyDescent="0.45">
      <c r="A13" t="s">
        <v>46</v>
      </c>
      <c r="B13" t="str">
        <f>VLOOKUP(A13,Product_Master!$A$1:$J$81,2,FALSE)</f>
        <v>Executive Chair</v>
      </c>
    </row>
    <row r="14" spans="1:2" x14ac:dyDescent="0.45">
      <c r="A14" t="s">
        <v>143</v>
      </c>
      <c r="B14" t="str">
        <f>VLOOKUP(A14,Product_Master!$A$1:$J$81,2,FALSE)</f>
        <v>Standing Desk</v>
      </c>
    </row>
    <row r="15" spans="1:2" x14ac:dyDescent="0.45">
      <c r="A15" t="s">
        <v>12</v>
      </c>
      <c r="B15" t="str">
        <f>VLOOKUP(A15,Product_Master!$A$1:$J$81,2,FALSE)</f>
        <v>Work Desk Compact</v>
      </c>
    </row>
    <row r="16" spans="1:2" x14ac:dyDescent="0.45">
      <c r="A16" t="s">
        <v>646</v>
      </c>
      <c r="B16" t="str">
        <f>VLOOKUP(A16,Product_Master!$A$1:$J$81,2,FALSE)</f>
        <v>Filing Cabinet</v>
      </c>
    </row>
    <row r="17" spans="1:2" x14ac:dyDescent="0.45">
      <c r="A17" t="s">
        <v>155</v>
      </c>
      <c r="B17" t="str">
        <f>VLOOKUP(A17,Product_Master!$A$1:$J$81,2,FALSE)</f>
        <v>Laser Printer</v>
      </c>
    </row>
    <row r="18" spans="1:2" x14ac:dyDescent="0.45">
      <c r="A18" t="s">
        <v>91</v>
      </c>
      <c r="B18" t="str">
        <f>VLOOKUP(A18,Product_Master!$A$1:$J$81,2,FALSE)</f>
        <v>Ink Tank Printer</v>
      </c>
    </row>
    <row r="19" spans="1:2" x14ac:dyDescent="0.45">
      <c r="A19" t="s">
        <v>182</v>
      </c>
      <c r="B19" t="str">
        <f>VLOOKUP(A19,Product_Master!$A$1:$J$81,2,FALSE)</f>
        <v>UPS 1KVA</v>
      </c>
    </row>
    <row r="20" spans="1:2" x14ac:dyDescent="0.45">
      <c r="A20" t="s">
        <v>167</v>
      </c>
      <c r="B20" t="str">
        <f>VLOOKUP(A20,Product_Master!$A$1:$J$81,2,FALSE)</f>
        <v>Wi-Fi Router AX3000</v>
      </c>
    </row>
    <row r="21" spans="1:2" x14ac:dyDescent="0.45">
      <c r="A21" t="s">
        <v>246</v>
      </c>
      <c r="B21" t="str">
        <f>VLOOKUP(A21,Product_Master!$A$1:$J$81,2,FALSE)</f>
        <v>Managed Switch 24-Port</v>
      </c>
    </row>
    <row r="22" spans="1:2" x14ac:dyDescent="0.45">
      <c r="A22" t="s">
        <v>100</v>
      </c>
      <c r="B22" t="str">
        <f>VLOOKUP(A22,Product_Master!$A$1:$J$81,2,FALSE)</f>
        <v>Wireless Mouse Pro V2</v>
      </c>
    </row>
    <row r="23" spans="1:2" x14ac:dyDescent="0.45">
      <c r="A23" t="s">
        <v>179</v>
      </c>
      <c r="B23" t="str">
        <f>VLOOKUP(A23,Product_Master!$A$1:$J$81,2,FALSE)</f>
        <v>Mechanical Keyboard V2</v>
      </c>
    </row>
    <row r="24" spans="1:2" x14ac:dyDescent="0.45">
      <c r="A24" t="s">
        <v>185</v>
      </c>
      <c r="B24" t="str">
        <f>VLOOKUP(A24,Product_Master!$A$1:$J$81,2,FALSE)</f>
        <v>Business Laptop 14 V2</v>
      </c>
    </row>
    <row r="25" spans="1:2" x14ac:dyDescent="0.45">
      <c r="A25" t="s">
        <v>439</v>
      </c>
      <c r="B25" t="str">
        <f>VLOOKUP(A25,Product_Master!$A$1:$J$81,2,FALSE)</f>
        <v>Ultrabook 13 V2</v>
      </c>
    </row>
    <row r="26" spans="1:2" x14ac:dyDescent="0.45">
      <c r="A26" t="s">
        <v>71</v>
      </c>
      <c r="B26" t="str">
        <f>VLOOKUP(A26,Product_Master!$A$1:$J$81,2,FALSE)</f>
        <v>27-inch Monitor V2</v>
      </c>
    </row>
    <row r="27" spans="1:2" x14ac:dyDescent="0.45">
      <c r="A27" t="s">
        <v>430</v>
      </c>
      <c r="B27" t="str">
        <f>VLOOKUP(A27,Product_Master!$A$1:$J$81,2,FALSE)</f>
        <v>24-inch Monitor V2</v>
      </c>
    </row>
    <row r="28" spans="1:2" x14ac:dyDescent="0.45">
      <c r="A28" t="s">
        <v>249</v>
      </c>
      <c r="B28" t="str">
        <f>VLOOKUP(A28,Product_Master!$A$1:$J$81,2,FALSE)</f>
        <v>USB-C Dock V2</v>
      </c>
    </row>
    <row r="29" spans="1:2" x14ac:dyDescent="0.45">
      <c r="A29" t="s">
        <v>130</v>
      </c>
      <c r="B29" t="str">
        <f>VLOOKUP(A29,Product_Master!$A$1:$J$81,2,FALSE)</f>
        <v>Noise Cancelling Headphones V2</v>
      </c>
    </row>
    <row r="30" spans="1:2" x14ac:dyDescent="0.45">
      <c r="A30" t="s">
        <v>614</v>
      </c>
      <c r="B30" t="str">
        <f>VLOOKUP(A30,Product_Master!$A$1:$J$81,2,FALSE)</f>
        <v>Webcam HD V2</v>
      </c>
    </row>
    <row r="31" spans="1:2" x14ac:dyDescent="0.45">
      <c r="A31" t="s">
        <v>151</v>
      </c>
      <c r="B31" t="str">
        <f>VLOOKUP(A31,Product_Master!$A$1:$J$81,2,FALSE)</f>
        <v>External SSD 1TB V2</v>
      </c>
    </row>
    <row r="32" spans="1:2" x14ac:dyDescent="0.45">
      <c r="A32" t="s">
        <v>283</v>
      </c>
      <c r="B32" t="str">
        <f>VLOOKUP(A32,Product_Master!$A$1:$J$81,2,FALSE)</f>
        <v>Office Chair Ergo V2</v>
      </c>
    </row>
    <row r="33" spans="1:2" x14ac:dyDescent="0.45">
      <c r="A33" t="s">
        <v>410</v>
      </c>
      <c r="B33" t="str">
        <f>VLOOKUP(A33,Product_Master!$A$1:$J$81,2,FALSE)</f>
        <v>Executive Chair V2</v>
      </c>
    </row>
    <row r="34" spans="1:2" x14ac:dyDescent="0.45">
      <c r="A34" t="s">
        <v>121</v>
      </c>
      <c r="B34" t="str">
        <f>VLOOKUP(A34,Product_Master!$A$1:$J$81,2,FALSE)</f>
        <v>Standing Desk V2</v>
      </c>
    </row>
    <row r="35" spans="1:2" x14ac:dyDescent="0.45">
      <c r="A35" t="s">
        <v>24</v>
      </c>
      <c r="B35" t="str">
        <f>VLOOKUP(A35,Product_Master!$A$1:$J$81,2,FALSE)</f>
        <v>Work Desk Compact V2</v>
      </c>
    </row>
    <row r="36" spans="1:2" x14ac:dyDescent="0.45">
      <c r="A36" t="s">
        <v>312</v>
      </c>
      <c r="B36" t="str">
        <f>VLOOKUP(A36,Product_Master!$A$1:$J$81,2,FALSE)</f>
        <v>Filing Cabinet V2</v>
      </c>
    </row>
    <row r="37" spans="1:2" x14ac:dyDescent="0.45">
      <c r="A37" t="s">
        <v>205</v>
      </c>
      <c r="B37" t="str">
        <f>VLOOKUP(A37,Product_Master!$A$1:$J$81,2,FALSE)</f>
        <v>Laser Printer V2</v>
      </c>
    </row>
    <row r="38" spans="1:2" x14ac:dyDescent="0.45">
      <c r="A38" t="s">
        <v>106</v>
      </c>
      <c r="B38" t="str">
        <f>VLOOKUP(A38,Product_Master!$A$1:$J$81,2,FALSE)</f>
        <v>Ink Tank Printer V2</v>
      </c>
    </row>
    <row r="39" spans="1:2" x14ac:dyDescent="0.45">
      <c r="A39" t="s">
        <v>65</v>
      </c>
      <c r="B39" t="str">
        <f>VLOOKUP(A39,Product_Master!$A$1:$J$81,2,FALSE)</f>
        <v>UPS 1KVA V2</v>
      </c>
    </row>
    <row r="40" spans="1:2" x14ac:dyDescent="0.45">
      <c r="A40" t="s">
        <v>391</v>
      </c>
      <c r="B40" t="str">
        <f>VLOOKUP(A40,Product_Master!$A$1:$J$81,2,FALSE)</f>
        <v>Wi-Fi Router AX3000 V2</v>
      </c>
    </row>
    <row r="41" spans="1:2" x14ac:dyDescent="0.45">
      <c r="A41" t="s">
        <v>320</v>
      </c>
      <c r="B41" t="str">
        <f>VLOOKUP(A41,Product_Master!$A$1:$J$81,2,FALSE)</f>
        <v>Managed Switch 24-Port V2</v>
      </c>
    </row>
    <row r="42" spans="1:2" x14ac:dyDescent="0.45">
      <c r="A42" t="s">
        <v>88</v>
      </c>
      <c r="B42" t="str">
        <f>VLOOKUP(A42,Product_Master!$A$1:$J$81,2,FALSE)</f>
        <v>Wireless Mouse Pro V3</v>
      </c>
    </row>
    <row r="43" spans="1:2" x14ac:dyDescent="0.45">
      <c r="A43" t="s">
        <v>135</v>
      </c>
      <c r="B43" t="str">
        <f>VLOOKUP(A43,Product_Master!$A$1:$J$81,2,FALSE)</f>
        <v>Mechanical Keyboard V3</v>
      </c>
    </row>
    <row r="44" spans="1:2" x14ac:dyDescent="0.45">
      <c r="A44" t="s">
        <v>148</v>
      </c>
      <c r="B44" t="str">
        <f>VLOOKUP(A44,Product_Master!$A$1:$J$81,2,FALSE)</f>
        <v>Business Laptop 14 V3</v>
      </c>
    </row>
    <row r="45" spans="1:2" x14ac:dyDescent="0.45">
      <c r="A45" t="s">
        <v>57</v>
      </c>
      <c r="B45" t="str">
        <f>VLOOKUP(A45,Product_Master!$A$1:$J$81,2,FALSE)</f>
        <v>Ultrabook 13 V3</v>
      </c>
    </row>
    <row r="46" spans="1:2" x14ac:dyDescent="0.45">
      <c r="A46" t="s">
        <v>170</v>
      </c>
      <c r="B46" t="str">
        <f>VLOOKUP(A46,Product_Master!$A$1:$J$81,2,FALSE)</f>
        <v>27-inch Monitor V3</v>
      </c>
    </row>
    <row r="47" spans="1:2" x14ac:dyDescent="0.45">
      <c r="A47" t="s">
        <v>158</v>
      </c>
      <c r="B47" t="str">
        <f>VLOOKUP(A47,Product_Master!$A$1:$J$81,2,FALSE)</f>
        <v>24-inch Monitor V3</v>
      </c>
    </row>
    <row r="48" spans="1:2" x14ac:dyDescent="0.45">
      <c r="A48" t="s">
        <v>202</v>
      </c>
      <c r="B48" t="str">
        <f>VLOOKUP(A48,Product_Master!$A$1:$J$81,2,FALSE)</f>
        <v>USB-C Dock V3</v>
      </c>
    </row>
    <row r="49" spans="1:2" x14ac:dyDescent="0.45">
      <c r="A49" t="s">
        <v>139</v>
      </c>
      <c r="B49" t="str">
        <f>VLOOKUP(A49,Product_Master!$A$1:$J$81,2,FALSE)</f>
        <v>Noise Cancelling Headphones V3</v>
      </c>
    </row>
    <row r="50" spans="1:2" x14ac:dyDescent="0.45">
      <c r="A50" t="s">
        <v>161</v>
      </c>
      <c r="B50" t="str">
        <f>VLOOKUP(A50,Product_Master!$A$1:$J$81,2,FALSE)</f>
        <v>Webcam HD V3</v>
      </c>
    </row>
    <row r="51" spans="1:2" x14ac:dyDescent="0.45">
      <c r="A51" t="s">
        <v>456</v>
      </c>
      <c r="B51" t="str">
        <f>VLOOKUP(A51,Product_Master!$A$1:$J$81,2,FALSE)</f>
        <v>External SSD 1TB V3</v>
      </c>
    </row>
    <row r="52" spans="1:2" x14ac:dyDescent="0.45">
      <c r="A52" t="s">
        <v>318</v>
      </c>
      <c r="B52" t="str">
        <f>VLOOKUP(A52,Product_Master!$A$1:$J$81,2,FALSE)</f>
        <v>Office Chair Ergo V3</v>
      </c>
    </row>
    <row r="53" spans="1:2" x14ac:dyDescent="0.45">
      <c r="A53" t="s">
        <v>380</v>
      </c>
      <c r="B53" t="str">
        <f>VLOOKUP(A53,Product_Master!$A$1:$J$81,2,FALSE)</f>
        <v>Executive Chair V3</v>
      </c>
    </row>
    <row r="54" spans="1:2" x14ac:dyDescent="0.45">
      <c r="A54" t="s">
        <v>68</v>
      </c>
      <c r="B54" t="str">
        <f>VLOOKUP(A54,Product_Master!$A$1:$J$81,2,FALSE)</f>
        <v>Standing Desk V3</v>
      </c>
    </row>
    <row r="55" spans="1:2" x14ac:dyDescent="0.45">
      <c r="A55" t="s">
        <v>230</v>
      </c>
      <c r="B55" t="str">
        <f>VLOOKUP(A55,Product_Master!$A$1:$J$81,2,FALSE)</f>
        <v>Work Desk Compact V3</v>
      </c>
    </row>
    <row r="56" spans="1:2" x14ac:dyDescent="0.45">
      <c r="A56" t="s">
        <v>295</v>
      </c>
      <c r="B56" t="str">
        <f>VLOOKUP(A56,Product_Master!$A$1:$J$81,2,FALSE)</f>
        <v>Filing Cabinet V3</v>
      </c>
    </row>
    <row r="57" spans="1:2" x14ac:dyDescent="0.45">
      <c r="A57" t="s">
        <v>235</v>
      </c>
      <c r="B57" t="str">
        <f>VLOOKUP(A57,Product_Master!$A$1:$J$81,2,FALSE)</f>
        <v>Laser Printer V3</v>
      </c>
    </row>
    <row r="58" spans="1:2" x14ac:dyDescent="0.45">
      <c r="A58" t="s">
        <v>500</v>
      </c>
      <c r="B58" t="str">
        <f>VLOOKUP(A58,Product_Master!$A$1:$J$81,2,FALSE)</f>
        <v>Ink Tank Printer V3</v>
      </c>
    </row>
    <row r="59" spans="1:2" x14ac:dyDescent="0.45">
      <c r="A59" t="s">
        <v>62</v>
      </c>
      <c r="B59" t="str">
        <f>VLOOKUP(A59,Product_Master!$A$1:$J$81,2,FALSE)</f>
        <v>UPS 1KVA V3</v>
      </c>
    </row>
    <row r="60" spans="1:2" x14ac:dyDescent="0.45">
      <c r="A60" t="s">
        <v>75</v>
      </c>
      <c r="B60" t="str">
        <f>VLOOKUP(A60,Product_Master!$A$1:$J$81,2,FALSE)</f>
        <v>Wi-Fi Router AX3000 V3</v>
      </c>
    </row>
    <row r="61" spans="1:2" x14ac:dyDescent="0.45">
      <c r="A61" t="s">
        <v>449</v>
      </c>
      <c r="B61" t="str">
        <f>VLOOKUP(A61,Product_Master!$A$1:$J$81,2,FALSE)</f>
        <v>Managed Switch 24-Port V3</v>
      </c>
    </row>
    <row r="62" spans="1:2" x14ac:dyDescent="0.45">
      <c r="A62" t="s">
        <v>280</v>
      </c>
      <c r="B62" t="str">
        <f>VLOOKUP(A62,Product_Master!$A$1:$J$81,2,FALSE)</f>
        <v>Wireless Mouse Pro V4</v>
      </c>
    </row>
    <row r="63" spans="1:2" x14ac:dyDescent="0.45">
      <c r="A63" t="s">
        <v>238</v>
      </c>
      <c r="B63" t="str">
        <f>VLOOKUP(A63,Product_Master!$A$1:$J$81,2,FALSE)</f>
        <v>Mechanical Keyboard V4</v>
      </c>
    </row>
    <row r="64" spans="1:2" x14ac:dyDescent="0.45">
      <c r="A64" t="s">
        <v>210</v>
      </c>
      <c r="B64" t="str">
        <f>VLOOKUP(A64,Product_Master!$A$1:$J$81,2,FALSE)</f>
        <v>Business Laptop 14 V4</v>
      </c>
    </row>
    <row r="65" spans="1:2" x14ac:dyDescent="0.45">
      <c r="A65" t="s">
        <v>365</v>
      </c>
      <c r="B65" t="str">
        <f>VLOOKUP(A65,Product_Master!$A$1:$J$81,2,FALSE)</f>
        <v>Ultrabook 13 V4</v>
      </c>
    </row>
    <row r="66" spans="1:2" x14ac:dyDescent="0.45">
      <c r="A66" t="s">
        <v>233</v>
      </c>
      <c r="B66" t="str">
        <f>VLOOKUP(A66,Product_Master!$A$1:$J$81,2,FALSE)</f>
        <v>27-inch Monitor V4</v>
      </c>
    </row>
    <row r="67" spans="1:2" x14ac:dyDescent="0.45">
      <c r="A67" t="s">
        <v>118</v>
      </c>
      <c r="B67" t="str">
        <f>VLOOKUP(A67,Product_Master!$A$1:$J$81,2,FALSE)</f>
        <v>24-inch Monitor V4</v>
      </c>
    </row>
    <row r="68" spans="1:2" x14ac:dyDescent="0.45">
      <c r="A68" t="s">
        <v>126</v>
      </c>
      <c r="B68" t="str">
        <f>VLOOKUP(A68,Product_Master!$A$1:$J$81,2,FALSE)</f>
        <v>USB-C Dock V4</v>
      </c>
    </row>
    <row r="69" spans="1:2" x14ac:dyDescent="0.45">
      <c r="A69" t="s">
        <v>404</v>
      </c>
      <c r="B69" t="str">
        <f>VLOOKUP(A69,Product_Master!$A$1:$J$81,2,FALSE)</f>
        <v>Noise Cancelling Headphones V4</v>
      </c>
    </row>
    <row r="70" spans="1:2" x14ac:dyDescent="0.45">
      <c r="A70" t="s">
        <v>272</v>
      </c>
      <c r="B70" t="str">
        <f>VLOOKUP(A70,Product_Master!$A$1:$J$81,2,FALSE)</f>
        <v>Webcam HD V4</v>
      </c>
    </row>
    <row r="71" spans="1:2" x14ac:dyDescent="0.45">
      <c r="A71" t="s">
        <v>164</v>
      </c>
      <c r="B71" t="str">
        <f>VLOOKUP(A71,Product_Master!$A$1:$J$81,2,FALSE)</f>
        <v>External SSD 1TB V4</v>
      </c>
    </row>
    <row r="72" spans="1:2" x14ac:dyDescent="0.45">
      <c r="A72" t="s">
        <v>43</v>
      </c>
      <c r="B72" t="str">
        <f>VLOOKUP(A72,Product_Master!$A$1:$J$81,2,FALSE)</f>
        <v>Office Chair Ergo V4</v>
      </c>
    </row>
    <row r="73" spans="1:2" x14ac:dyDescent="0.45">
      <c r="A73" t="s">
        <v>502</v>
      </c>
      <c r="B73" t="str">
        <f>VLOOKUP(A73,Product_Master!$A$1:$J$81,2,FALSE)</f>
        <v>Executive Chair V4</v>
      </c>
    </row>
    <row r="74" spans="1:2" x14ac:dyDescent="0.45">
      <c r="A74" t="s">
        <v>196</v>
      </c>
      <c r="B74" t="str">
        <f>VLOOKUP(A74,Product_Master!$A$1:$J$81,2,FALSE)</f>
        <v>Standing Desk V4</v>
      </c>
    </row>
    <row r="75" spans="1:2" x14ac:dyDescent="0.45">
      <c r="A75" t="s">
        <v>94</v>
      </c>
      <c r="B75" t="str">
        <f>VLOOKUP(A75,Product_Master!$A$1:$J$81,2,FALSE)</f>
        <v>Work Desk Compact V4</v>
      </c>
    </row>
    <row r="76" spans="1:2" x14ac:dyDescent="0.45">
      <c r="A76" t="s">
        <v>78</v>
      </c>
      <c r="B76" t="str">
        <f>VLOOKUP(A76,Product_Master!$A$1:$J$81,2,FALSE)</f>
        <v>Filing Cabinet V4</v>
      </c>
    </row>
    <row r="77" spans="1:2" x14ac:dyDescent="0.45">
      <c r="A77" t="s">
        <v>191</v>
      </c>
      <c r="B77" t="str">
        <f>VLOOKUP(A77,Product_Master!$A$1:$J$81,2,FALSE)</f>
        <v>Laser Printer V4</v>
      </c>
    </row>
    <row r="78" spans="1:2" x14ac:dyDescent="0.45">
      <c r="A78" t="s">
        <v>81</v>
      </c>
      <c r="B78" t="str">
        <f>VLOOKUP(A78,Product_Master!$A$1:$J$81,2,FALSE)</f>
        <v>Ink Tank Printer V4</v>
      </c>
    </row>
    <row r="79" spans="1:2" x14ac:dyDescent="0.45">
      <c r="A79" t="s">
        <v>114</v>
      </c>
      <c r="B79" t="str">
        <f>VLOOKUP(A79,Product_Master!$A$1:$J$81,2,FALSE)</f>
        <v>UPS 1KVA V4</v>
      </c>
    </row>
    <row r="80" spans="1:2" x14ac:dyDescent="0.45">
      <c r="A80" t="s">
        <v>34</v>
      </c>
      <c r="B80" t="str">
        <f>VLOOKUP(A80,Product_Master!$A$1:$J$81,2,FALSE)</f>
        <v>Wi-Fi Router AX3000 V4</v>
      </c>
    </row>
    <row r="81" spans="1:2" x14ac:dyDescent="0.45">
      <c r="A81" t="s">
        <v>30</v>
      </c>
      <c r="B81" t="str">
        <f>VLOOKUP(A81,Product_Master!$A$1:$J$81,2,FALSE)</f>
        <v>Managed Switch 24-Port V4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1"/>
  <sheetViews>
    <sheetView workbookViewId="0">
      <pane ySplit="1" topLeftCell="A2" activePane="bottomLeft" state="frozen"/>
      <selection pane="bottomLeft" activeCell="J18" sqref="J18"/>
    </sheetView>
  </sheetViews>
  <sheetFormatPr defaultRowHeight="14.25" x14ac:dyDescent="0.45"/>
  <cols>
    <col min="1" max="1" width="13" customWidth="1"/>
    <col min="2" max="2" width="17" customWidth="1"/>
    <col min="3" max="3" width="18" customWidth="1"/>
    <col min="4" max="4" width="13" customWidth="1"/>
    <col min="5" max="5" width="16" customWidth="1"/>
    <col min="6" max="6" width="12" customWidth="1"/>
    <col min="7" max="7" width="19" customWidth="1"/>
    <col min="8" max="9" width="14" customWidth="1"/>
    <col min="10" max="10" width="16" customWidth="1"/>
  </cols>
  <sheetData>
    <row r="1" spans="1:10" x14ac:dyDescent="0.45">
      <c r="A1" s="1" t="s">
        <v>2</v>
      </c>
      <c r="B1" s="1" t="s">
        <v>2279</v>
      </c>
      <c r="C1" s="1" t="s">
        <v>2280</v>
      </c>
      <c r="D1" s="1" t="s">
        <v>2281</v>
      </c>
      <c r="E1" s="1" t="s">
        <v>2282</v>
      </c>
      <c r="F1" s="1" t="s">
        <v>2283</v>
      </c>
      <c r="G1" s="1" t="s">
        <v>2284</v>
      </c>
      <c r="H1" s="1" t="s">
        <v>2285</v>
      </c>
      <c r="I1" s="1" t="s">
        <v>2286</v>
      </c>
      <c r="J1" s="1" t="s">
        <v>2287</v>
      </c>
    </row>
    <row r="2" spans="1:10" x14ac:dyDescent="0.45">
      <c r="A2" t="s">
        <v>1147</v>
      </c>
      <c r="B2" t="s">
        <v>2288</v>
      </c>
      <c r="C2" t="s">
        <v>2289</v>
      </c>
      <c r="D2" t="s">
        <v>2290</v>
      </c>
      <c r="E2" t="s">
        <v>2291</v>
      </c>
      <c r="F2" t="s">
        <v>2292</v>
      </c>
      <c r="G2" s="2">
        <v>45372</v>
      </c>
      <c r="H2" s="5">
        <v>100000</v>
      </c>
      <c r="I2" t="s">
        <v>2293</v>
      </c>
      <c r="J2" t="s">
        <v>2294</v>
      </c>
    </row>
    <row r="3" spans="1:10" x14ac:dyDescent="0.45">
      <c r="A3" t="s">
        <v>578</v>
      </c>
      <c r="B3" t="s">
        <v>2295</v>
      </c>
      <c r="C3" t="s">
        <v>2289</v>
      </c>
      <c r="D3" t="s">
        <v>2296</v>
      </c>
      <c r="E3" t="s">
        <v>2297</v>
      </c>
      <c r="F3" t="s">
        <v>2298</v>
      </c>
      <c r="G3" s="2">
        <v>45834</v>
      </c>
      <c r="H3" s="5">
        <v>500000</v>
      </c>
      <c r="I3" t="s">
        <v>2299</v>
      </c>
      <c r="J3" t="s">
        <v>2294</v>
      </c>
    </row>
    <row r="4" spans="1:10" x14ac:dyDescent="0.45">
      <c r="A4" t="s">
        <v>604</v>
      </c>
      <c r="B4" t="s">
        <v>2300</v>
      </c>
      <c r="C4" t="s">
        <v>2289</v>
      </c>
      <c r="D4" t="s">
        <v>2290</v>
      </c>
      <c r="E4" t="s">
        <v>2291</v>
      </c>
      <c r="F4" t="s">
        <v>2292</v>
      </c>
      <c r="G4" s="2">
        <v>45276</v>
      </c>
      <c r="H4" s="5">
        <v>50000</v>
      </c>
      <c r="I4" t="s">
        <v>2293</v>
      </c>
      <c r="J4" t="s">
        <v>2294</v>
      </c>
    </row>
    <row r="5" spans="1:10" x14ac:dyDescent="0.45">
      <c r="A5" t="s">
        <v>945</v>
      </c>
      <c r="B5" t="s">
        <v>2301</v>
      </c>
      <c r="C5" t="s">
        <v>2302</v>
      </c>
      <c r="D5" t="s">
        <v>2303</v>
      </c>
      <c r="E5" t="s">
        <v>2304</v>
      </c>
      <c r="F5" t="s">
        <v>2292</v>
      </c>
      <c r="G5" s="2">
        <v>45814</v>
      </c>
      <c r="H5" s="5">
        <v>750000</v>
      </c>
      <c r="I5" t="s">
        <v>2305</v>
      </c>
      <c r="J5" t="s">
        <v>2294</v>
      </c>
    </row>
    <row r="6" spans="1:10" x14ac:dyDescent="0.45">
      <c r="A6" t="s">
        <v>839</v>
      </c>
      <c r="B6" t="s">
        <v>2306</v>
      </c>
      <c r="C6" t="s">
        <v>2302</v>
      </c>
      <c r="D6" t="s">
        <v>2307</v>
      </c>
      <c r="E6" t="s">
        <v>2308</v>
      </c>
      <c r="F6" t="s">
        <v>2309</v>
      </c>
      <c r="G6" s="2">
        <v>44837</v>
      </c>
      <c r="H6" s="5">
        <v>150000</v>
      </c>
      <c r="I6" t="s">
        <v>2310</v>
      </c>
      <c r="J6" t="s">
        <v>2294</v>
      </c>
    </row>
    <row r="7" spans="1:10" x14ac:dyDescent="0.45">
      <c r="A7" t="s">
        <v>328</v>
      </c>
      <c r="B7" t="s">
        <v>2311</v>
      </c>
      <c r="C7" t="s">
        <v>2289</v>
      </c>
      <c r="D7" t="s">
        <v>2307</v>
      </c>
      <c r="E7" t="s">
        <v>2308</v>
      </c>
      <c r="F7" t="s">
        <v>2309</v>
      </c>
      <c r="G7" s="2">
        <v>44993</v>
      </c>
      <c r="H7" s="5">
        <v>750000</v>
      </c>
      <c r="I7" t="s">
        <v>2310</v>
      </c>
      <c r="J7" t="s">
        <v>2294</v>
      </c>
    </row>
    <row r="8" spans="1:10" x14ac:dyDescent="0.45">
      <c r="A8" t="s">
        <v>344</v>
      </c>
      <c r="B8" t="s">
        <v>2312</v>
      </c>
      <c r="C8" t="s">
        <v>2289</v>
      </c>
      <c r="D8" t="s">
        <v>2313</v>
      </c>
      <c r="E8" t="s">
        <v>2314</v>
      </c>
      <c r="F8" t="s">
        <v>2298</v>
      </c>
      <c r="G8" s="2">
        <v>44666</v>
      </c>
      <c r="H8" s="5">
        <v>50000</v>
      </c>
      <c r="I8" t="s">
        <v>2305</v>
      </c>
      <c r="J8" t="s">
        <v>2294</v>
      </c>
    </row>
    <row r="9" spans="1:10" x14ac:dyDescent="0.45">
      <c r="A9" t="s">
        <v>1443</v>
      </c>
      <c r="B9" t="s">
        <v>2315</v>
      </c>
      <c r="C9" t="s">
        <v>2302</v>
      </c>
      <c r="D9" t="s">
        <v>2316</v>
      </c>
      <c r="E9" t="s">
        <v>2317</v>
      </c>
      <c r="F9" t="s">
        <v>2318</v>
      </c>
      <c r="G9" s="2">
        <v>45866</v>
      </c>
      <c r="H9" s="5">
        <v>150000</v>
      </c>
      <c r="I9" t="s">
        <v>2310</v>
      </c>
      <c r="J9" t="s">
        <v>2294</v>
      </c>
    </row>
    <row r="10" spans="1:10" x14ac:dyDescent="0.45">
      <c r="A10" t="s">
        <v>1766</v>
      </c>
      <c r="B10" t="s">
        <v>2319</v>
      </c>
      <c r="C10" t="s">
        <v>2289</v>
      </c>
      <c r="D10" t="s">
        <v>2320</v>
      </c>
      <c r="E10" t="s">
        <v>2321</v>
      </c>
      <c r="F10" t="s">
        <v>2322</v>
      </c>
      <c r="G10" s="2">
        <v>45977</v>
      </c>
      <c r="H10" s="5">
        <v>100000</v>
      </c>
      <c r="I10" t="s">
        <v>2305</v>
      </c>
      <c r="J10" t="s">
        <v>2294</v>
      </c>
    </row>
    <row r="11" spans="1:10" x14ac:dyDescent="0.45">
      <c r="A11" t="s">
        <v>363</v>
      </c>
      <c r="B11" t="s">
        <v>2323</v>
      </c>
      <c r="C11" t="s">
        <v>2289</v>
      </c>
      <c r="D11" t="s">
        <v>2324</v>
      </c>
      <c r="E11" t="s">
        <v>2304</v>
      </c>
      <c r="F11" t="s">
        <v>2309</v>
      </c>
      <c r="G11" s="2">
        <v>44647</v>
      </c>
      <c r="H11" s="5">
        <v>150000</v>
      </c>
      <c r="I11" t="s">
        <v>2305</v>
      </c>
      <c r="J11" t="s">
        <v>2325</v>
      </c>
    </row>
    <row r="12" spans="1:10" x14ac:dyDescent="0.45">
      <c r="A12" t="s">
        <v>950</v>
      </c>
      <c r="B12" t="s">
        <v>2326</v>
      </c>
      <c r="C12" t="s">
        <v>2289</v>
      </c>
      <c r="D12" t="s">
        <v>2316</v>
      </c>
      <c r="E12" t="s">
        <v>2317</v>
      </c>
      <c r="F12" t="s">
        <v>2318</v>
      </c>
      <c r="G12" s="2">
        <v>45073</v>
      </c>
      <c r="H12" s="5">
        <v>750000</v>
      </c>
      <c r="I12" t="s">
        <v>2310</v>
      </c>
      <c r="J12" t="s">
        <v>2294</v>
      </c>
    </row>
    <row r="13" spans="1:10" x14ac:dyDescent="0.45">
      <c r="A13" t="s">
        <v>781</v>
      </c>
      <c r="B13" t="s">
        <v>2327</v>
      </c>
      <c r="C13" t="s">
        <v>2302</v>
      </c>
      <c r="D13" t="s">
        <v>2320</v>
      </c>
      <c r="E13" t="s">
        <v>2321</v>
      </c>
      <c r="F13" t="s">
        <v>2322</v>
      </c>
      <c r="G13" s="2">
        <v>45046</v>
      </c>
      <c r="H13" s="5">
        <v>100000</v>
      </c>
      <c r="I13" t="s">
        <v>2299</v>
      </c>
      <c r="J13" t="s">
        <v>2294</v>
      </c>
    </row>
    <row r="14" spans="1:10" x14ac:dyDescent="0.45">
      <c r="A14" t="s">
        <v>585</v>
      </c>
      <c r="B14" t="s">
        <v>2328</v>
      </c>
      <c r="C14" t="s">
        <v>2302</v>
      </c>
      <c r="D14" t="s">
        <v>2320</v>
      </c>
      <c r="E14" t="s">
        <v>2321</v>
      </c>
      <c r="F14" t="s">
        <v>2322</v>
      </c>
      <c r="G14" s="2">
        <v>45242</v>
      </c>
      <c r="H14" s="5">
        <v>250000</v>
      </c>
      <c r="I14" t="s">
        <v>2293</v>
      </c>
      <c r="J14" t="s">
        <v>2294</v>
      </c>
    </row>
    <row r="15" spans="1:10" x14ac:dyDescent="0.45">
      <c r="A15" t="s">
        <v>317</v>
      </c>
      <c r="B15" t="s">
        <v>2329</v>
      </c>
      <c r="C15" t="s">
        <v>2302</v>
      </c>
      <c r="D15" t="s">
        <v>2330</v>
      </c>
      <c r="E15" t="s">
        <v>2291</v>
      </c>
      <c r="F15" t="s">
        <v>2292</v>
      </c>
      <c r="G15" s="2">
        <v>44783</v>
      </c>
      <c r="H15" s="5">
        <v>250000</v>
      </c>
      <c r="I15" t="s">
        <v>2293</v>
      </c>
      <c r="J15" t="s">
        <v>2294</v>
      </c>
    </row>
    <row r="16" spans="1:10" x14ac:dyDescent="0.45">
      <c r="A16" t="s">
        <v>609</v>
      </c>
      <c r="B16" t="s">
        <v>2331</v>
      </c>
      <c r="C16" t="s">
        <v>2289</v>
      </c>
      <c r="D16" t="s">
        <v>2330</v>
      </c>
      <c r="E16" t="s">
        <v>2291</v>
      </c>
      <c r="F16" t="s">
        <v>2292</v>
      </c>
      <c r="G16" s="2">
        <v>45028</v>
      </c>
      <c r="H16" s="5">
        <v>100000</v>
      </c>
      <c r="I16" t="s">
        <v>2310</v>
      </c>
      <c r="J16" t="s">
        <v>2294</v>
      </c>
    </row>
    <row r="17" spans="1:10" x14ac:dyDescent="0.45">
      <c r="A17" t="s">
        <v>974</v>
      </c>
      <c r="B17" t="s">
        <v>2332</v>
      </c>
      <c r="C17" t="s">
        <v>2302</v>
      </c>
      <c r="D17" t="s">
        <v>2296</v>
      </c>
      <c r="E17" t="s">
        <v>2297</v>
      </c>
      <c r="F17" t="s">
        <v>2298</v>
      </c>
      <c r="G17" s="2">
        <v>45133</v>
      </c>
      <c r="H17" s="5">
        <v>150000</v>
      </c>
      <c r="I17" t="s">
        <v>2305</v>
      </c>
      <c r="J17" t="s">
        <v>2294</v>
      </c>
    </row>
    <row r="18" spans="1:10" x14ac:dyDescent="0.45">
      <c r="A18" t="s">
        <v>368</v>
      </c>
      <c r="B18" t="s">
        <v>2333</v>
      </c>
      <c r="C18" t="s">
        <v>2289</v>
      </c>
      <c r="D18" t="s">
        <v>2307</v>
      </c>
      <c r="E18" t="s">
        <v>2308</v>
      </c>
      <c r="F18" t="s">
        <v>2309</v>
      </c>
      <c r="G18" s="2">
        <v>45096</v>
      </c>
      <c r="H18" s="5">
        <v>100000</v>
      </c>
      <c r="I18" t="s">
        <v>2305</v>
      </c>
      <c r="J18" t="s">
        <v>2325</v>
      </c>
    </row>
    <row r="19" spans="1:10" x14ac:dyDescent="0.45">
      <c r="A19" t="s">
        <v>1035</v>
      </c>
      <c r="B19" t="s">
        <v>2334</v>
      </c>
      <c r="C19" t="s">
        <v>2289</v>
      </c>
      <c r="D19" t="s">
        <v>2316</v>
      </c>
      <c r="E19" t="s">
        <v>2317</v>
      </c>
      <c r="F19" t="s">
        <v>2318</v>
      </c>
      <c r="G19" s="2">
        <v>45204</v>
      </c>
      <c r="H19" s="5">
        <v>250000</v>
      </c>
      <c r="I19" t="s">
        <v>2305</v>
      </c>
      <c r="J19" t="s">
        <v>2294</v>
      </c>
    </row>
    <row r="20" spans="1:10" x14ac:dyDescent="0.45">
      <c r="A20" t="s">
        <v>494</v>
      </c>
      <c r="B20" t="s">
        <v>2335</v>
      </c>
      <c r="C20" t="s">
        <v>2289</v>
      </c>
      <c r="D20" t="s">
        <v>2336</v>
      </c>
      <c r="E20" t="s">
        <v>2337</v>
      </c>
      <c r="F20" t="s">
        <v>2322</v>
      </c>
      <c r="G20" s="2">
        <v>46013</v>
      </c>
      <c r="H20" s="5">
        <v>250000</v>
      </c>
      <c r="I20" t="s">
        <v>2310</v>
      </c>
      <c r="J20" t="s">
        <v>2325</v>
      </c>
    </row>
    <row r="21" spans="1:10" x14ac:dyDescent="0.45">
      <c r="A21" t="s">
        <v>541</v>
      </c>
      <c r="B21" t="s">
        <v>2338</v>
      </c>
      <c r="C21" t="s">
        <v>2289</v>
      </c>
      <c r="D21" t="s">
        <v>2307</v>
      </c>
      <c r="E21" t="s">
        <v>2308</v>
      </c>
      <c r="F21" t="s">
        <v>2309</v>
      </c>
      <c r="G21" s="2">
        <v>44705</v>
      </c>
      <c r="H21" s="5">
        <v>750000</v>
      </c>
      <c r="I21" t="s">
        <v>2299</v>
      </c>
      <c r="J21" t="s">
        <v>2294</v>
      </c>
    </row>
    <row r="22" spans="1:10" x14ac:dyDescent="0.45">
      <c r="A22" t="s">
        <v>661</v>
      </c>
      <c r="B22" t="s">
        <v>2339</v>
      </c>
      <c r="C22" t="s">
        <v>2340</v>
      </c>
      <c r="D22" t="s">
        <v>2341</v>
      </c>
      <c r="E22" t="s">
        <v>2341</v>
      </c>
      <c r="F22" t="s">
        <v>2318</v>
      </c>
      <c r="G22" s="2">
        <v>45927</v>
      </c>
      <c r="H22" s="5">
        <v>250000</v>
      </c>
      <c r="I22" t="s">
        <v>2310</v>
      </c>
      <c r="J22" t="s">
        <v>2294</v>
      </c>
    </row>
    <row r="23" spans="1:10" x14ac:dyDescent="0.45">
      <c r="A23" t="s">
        <v>445</v>
      </c>
      <c r="B23" t="s">
        <v>2342</v>
      </c>
      <c r="C23" t="s">
        <v>2289</v>
      </c>
      <c r="D23" t="s">
        <v>2307</v>
      </c>
      <c r="E23" t="s">
        <v>2308</v>
      </c>
      <c r="F23" t="s">
        <v>2309</v>
      </c>
      <c r="G23" s="2">
        <v>45338</v>
      </c>
      <c r="H23" s="5">
        <v>750000</v>
      </c>
      <c r="I23" t="s">
        <v>2293</v>
      </c>
      <c r="J23" t="s">
        <v>2294</v>
      </c>
    </row>
    <row r="24" spans="1:10" x14ac:dyDescent="0.45">
      <c r="A24" t="s">
        <v>2343</v>
      </c>
      <c r="B24" t="s">
        <v>2344</v>
      </c>
      <c r="C24" t="s">
        <v>2340</v>
      </c>
      <c r="D24" t="s">
        <v>2324</v>
      </c>
      <c r="E24" t="s">
        <v>2304</v>
      </c>
      <c r="F24" t="s">
        <v>2309</v>
      </c>
      <c r="G24" s="2">
        <v>44562</v>
      </c>
      <c r="H24" s="5">
        <v>150000</v>
      </c>
      <c r="I24" t="s">
        <v>2310</v>
      </c>
      <c r="J24" t="s">
        <v>2294</v>
      </c>
    </row>
    <row r="25" spans="1:10" x14ac:dyDescent="0.45">
      <c r="A25" t="s">
        <v>1086</v>
      </c>
      <c r="B25" t="s">
        <v>2345</v>
      </c>
      <c r="C25" t="s">
        <v>2340</v>
      </c>
      <c r="D25" t="s">
        <v>2324</v>
      </c>
      <c r="E25" t="s">
        <v>2304</v>
      </c>
      <c r="F25" t="s">
        <v>2309</v>
      </c>
      <c r="G25" s="2">
        <v>45467</v>
      </c>
      <c r="H25" s="5">
        <v>750000</v>
      </c>
      <c r="I25" t="s">
        <v>2310</v>
      </c>
      <c r="J25" t="s">
        <v>2294</v>
      </c>
    </row>
    <row r="26" spans="1:10" x14ac:dyDescent="0.45">
      <c r="A26" t="s">
        <v>744</v>
      </c>
      <c r="B26" t="s">
        <v>2346</v>
      </c>
      <c r="C26" t="s">
        <v>2289</v>
      </c>
      <c r="D26" t="s">
        <v>2303</v>
      </c>
      <c r="E26" t="s">
        <v>2304</v>
      </c>
      <c r="F26" t="s">
        <v>2292</v>
      </c>
      <c r="G26" s="2">
        <v>45921</v>
      </c>
      <c r="H26" s="5">
        <v>750000</v>
      </c>
      <c r="I26" t="s">
        <v>2305</v>
      </c>
      <c r="J26" t="s">
        <v>2294</v>
      </c>
    </row>
    <row r="27" spans="1:10" x14ac:dyDescent="0.45">
      <c r="A27" t="s">
        <v>506</v>
      </c>
      <c r="B27" t="s">
        <v>2347</v>
      </c>
      <c r="C27" t="s">
        <v>2289</v>
      </c>
      <c r="D27" t="s">
        <v>2330</v>
      </c>
      <c r="E27" t="s">
        <v>2291</v>
      </c>
      <c r="F27" t="s">
        <v>2292</v>
      </c>
      <c r="G27" s="2">
        <v>44969</v>
      </c>
      <c r="H27" s="5">
        <v>100000</v>
      </c>
      <c r="I27" t="s">
        <v>2310</v>
      </c>
      <c r="J27" t="s">
        <v>2294</v>
      </c>
    </row>
    <row r="28" spans="1:10" x14ac:dyDescent="0.45">
      <c r="A28" t="s">
        <v>350</v>
      </c>
      <c r="B28" t="s">
        <v>2348</v>
      </c>
      <c r="C28" t="s">
        <v>2340</v>
      </c>
      <c r="D28" t="s">
        <v>2349</v>
      </c>
      <c r="E28" t="s">
        <v>2350</v>
      </c>
      <c r="F28" t="s">
        <v>2322</v>
      </c>
      <c r="G28" s="2">
        <v>45851</v>
      </c>
      <c r="H28" s="5">
        <v>500000</v>
      </c>
      <c r="I28" t="s">
        <v>2310</v>
      </c>
      <c r="J28" t="s">
        <v>2294</v>
      </c>
    </row>
    <row r="29" spans="1:10" x14ac:dyDescent="0.45">
      <c r="A29" t="s">
        <v>109</v>
      </c>
      <c r="B29" t="s">
        <v>2351</v>
      </c>
      <c r="C29" t="s">
        <v>2289</v>
      </c>
      <c r="D29" t="s">
        <v>2349</v>
      </c>
      <c r="E29" t="s">
        <v>2350</v>
      </c>
      <c r="F29" t="s">
        <v>2322</v>
      </c>
      <c r="G29" s="2">
        <v>45970</v>
      </c>
      <c r="H29" s="5">
        <v>50000</v>
      </c>
      <c r="I29" t="s">
        <v>2293</v>
      </c>
      <c r="J29" t="s">
        <v>2294</v>
      </c>
    </row>
    <row r="30" spans="1:10" x14ac:dyDescent="0.45">
      <c r="A30" t="s">
        <v>394</v>
      </c>
      <c r="B30" t="s">
        <v>2352</v>
      </c>
      <c r="C30" t="s">
        <v>2289</v>
      </c>
      <c r="D30" t="s">
        <v>2341</v>
      </c>
      <c r="E30" t="s">
        <v>2341</v>
      </c>
      <c r="F30" t="s">
        <v>2318</v>
      </c>
      <c r="G30" s="2">
        <v>45987</v>
      </c>
      <c r="H30" s="5">
        <v>500000</v>
      </c>
      <c r="I30" t="s">
        <v>2305</v>
      </c>
      <c r="J30" t="s">
        <v>2294</v>
      </c>
    </row>
    <row r="31" spans="1:10" x14ac:dyDescent="0.45">
      <c r="A31" t="s">
        <v>1049</v>
      </c>
      <c r="B31" t="s">
        <v>2353</v>
      </c>
      <c r="C31" t="s">
        <v>2302</v>
      </c>
      <c r="D31" t="s">
        <v>2341</v>
      </c>
      <c r="E31" t="s">
        <v>2341</v>
      </c>
      <c r="F31" t="s">
        <v>2318</v>
      </c>
      <c r="G31" s="2">
        <v>45929</v>
      </c>
      <c r="H31" s="5">
        <v>500000</v>
      </c>
      <c r="I31" t="s">
        <v>2299</v>
      </c>
      <c r="J31" t="s">
        <v>2294</v>
      </c>
    </row>
    <row r="32" spans="1:10" x14ac:dyDescent="0.45">
      <c r="A32" t="s">
        <v>936</v>
      </c>
      <c r="B32" t="s">
        <v>2354</v>
      </c>
      <c r="C32" t="s">
        <v>2289</v>
      </c>
      <c r="D32" t="s">
        <v>2355</v>
      </c>
      <c r="E32" t="s">
        <v>2356</v>
      </c>
      <c r="F32" t="s">
        <v>2322</v>
      </c>
      <c r="G32" s="2">
        <v>45684</v>
      </c>
      <c r="H32" s="5">
        <v>250000</v>
      </c>
      <c r="I32" t="s">
        <v>2293</v>
      </c>
      <c r="J32" t="s">
        <v>2294</v>
      </c>
    </row>
    <row r="33" spans="1:10" x14ac:dyDescent="0.45">
      <c r="A33" t="s">
        <v>571</v>
      </c>
      <c r="B33" t="s">
        <v>2357</v>
      </c>
      <c r="C33" t="s">
        <v>2302</v>
      </c>
      <c r="D33" t="s">
        <v>2349</v>
      </c>
      <c r="E33" t="s">
        <v>2350</v>
      </c>
      <c r="F33" t="s">
        <v>2322</v>
      </c>
      <c r="G33" s="2">
        <v>45867</v>
      </c>
      <c r="H33" s="5">
        <v>150000</v>
      </c>
      <c r="I33" t="s">
        <v>2293</v>
      </c>
      <c r="J33" t="s">
        <v>2294</v>
      </c>
    </row>
    <row r="34" spans="1:10" x14ac:dyDescent="0.45">
      <c r="A34" t="s">
        <v>23</v>
      </c>
      <c r="B34" t="s">
        <v>2358</v>
      </c>
      <c r="C34" t="s">
        <v>2289</v>
      </c>
      <c r="D34" t="s">
        <v>2330</v>
      </c>
      <c r="E34" t="s">
        <v>2291</v>
      </c>
      <c r="F34" t="s">
        <v>2292</v>
      </c>
      <c r="G34" s="2">
        <v>45147</v>
      </c>
      <c r="H34" s="5">
        <v>100000</v>
      </c>
      <c r="I34" t="s">
        <v>2310</v>
      </c>
      <c r="J34" t="s">
        <v>2294</v>
      </c>
    </row>
    <row r="35" spans="1:10" x14ac:dyDescent="0.45">
      <c r="A35" t="s">
        <v>1929</v>
      </c>
      <c r="B35" t="s">
        <v>2359</v>
      </c>
      <c r="C35" t="s">
        <v>2289</v>
      </c>
      <c r="D35" t="s">
        <v>2307</v>
      </c>
      <c r="E35" t="s">
        <v>2308</v>
      </c>
      <c r="F35" t="s">
        <v>2309</v>
      </c>
      <c r="G35" s="2">
        <v>45346</v>
      </c>
      <c r="H35" s="5">
        <v>750000</v>
      </c>
      <c r="I35" t="s">
        <v>2310</v>
      </c>
      <c r="J35" t="s">
        <v>2294</v>
      </c>
    </row>
    <row r="36" spans="1:10" x14ac:dyDescent="0.45">
      <c r="A36" t="s">
        <v>993</v>
      </c>
      <c r="B36" t="s">
        <v>2360</v>
      </c>
      <c r="C36" t="s">
        <v>2340</v>
      </c>
      <c r="D36" t="s">
        <v>2320</v>
      </c>
      <c r="E36" t="s">
        <v>2321</v>
      </c>
      <c r="F36" t="s">
        <v>2322</v>
      </c>
      <c r="G36" s="2">
        <v>45413</v>
      </c>
      <c r="H36" s="5">
        <v>50000</v>
      </c>
      <c r="I36" t="s">
        <v>2310</v>
      </c>
      <c r="J36" t="s">
        <v>2294</v>
      </c>
    </row>
    <row r="37" spans="1:10" x14ac:dyDescent="0.45">
      <c r="A37" t="s">
        <v>573</v>
      </c>
      <c r="B37" t="s">
        <v>2361</v>
      </c>
      <c r="C37" t="s">
        <v>2302</v>
      </c>
      <c r="D37" t="s">
        <v>2324</v>
      </c>
      <c r="E37" t="s">
        <v>2304</v>
      </c>
      <c r="F37" t="s">
        <v>2309</v>
      </c>
      <c r="G37" s="2">
        <v>45741</v>
      </c>
      <c r="H37" s="5">
        <v>250000</v>
      </c>
      <c r="I37" t="s">
        <v>2305</v>
      </c>
      <c r="J37" t="s">
        <v>2325</v>
      </c>
    </row>
    <row r="38" spans="1:10" x14ac:dyDescent="0.45">
      <c r="A38" t="s">
        <v>967</v>
      </c>
      <c r="B38" t="s">
        <v>2362</v>
      </c>
      <c r="C38" t="s">
        <v>2302</v>
      </c>
      <c r="D38" t="s">
        <v>2363</v>
      </c>
      <c r="E38" t="s">
        <v>2364</v>
      </c>
      <c r="F38" t="s">
        <v>2298</v>
      </c>
      <c r="G38" s="2">
        <v>45420</v>
      </c>
      <c r="H38" s="5">
        <v>500000</v>
      </c>
      <c r="I38" t="s">
        <v>2293</v>
      </c>
      <c r="J38" t="s">
        <v>2294</v>
      </c>
    </row>
    <row r="39" spans="1:10" x14ac:dyDescent="0.45">
      <c r="A39" t="s">
        <v>157</v>
      </c>
      <c r="B39" t="s">
        <v>2365</v>
      </c>
      <c r="C39" t="s">
        <v>2340</v>
      </c>
      <c r="D39" t="s">
        <v>2366</v>
      </c>
      <c r="E39" t="s">
        <v>2367</v>
      </c>
      <c r="F39" t="s">
        <v>2309</v>
      </c>
      <c r="G39" s="2">
        <v>45120</v>
      </c>
      <c r="H39" s="5">
        <v>250000</v>
      </c>
      <c r="I39" t="s">
        <v>2305</v>
      </c>
      <c r="J39" t="s">
        <v>2294</v>
      </c>
    </row>
    <row r="40" spans="1:10" x14ac:dyDescent="0.45">
      <c r="A40" t="s">
        <v>569</v>
      </c>
      <c r="B40" t="s">
        <v>2368</v>
      </c>
      <c r="C40" t="s">
        <v>2302</v>
      </c>
      <c r="D40" t="s">
        <v>2336</v>
      </c>
      <c r="E40" t="s">
        <v>2337</v>
      </c>
      <c r="F40" t="s">
        <v>2322</v>
      </c>
      <c r="G40" s="2">
        <v>44823</v>
      </c>
      <c r="H40" s="5">
        <v>500000</v>
      </c>
      <c r="I40" t="s">
        <v>2305</v>
      </c>
      <c r="J40" t="s">
        <v>2294</v>
      </c>
    </row>
    <row r="41" spans="1:10" x14ac:dyDescent="0.45">
      <c r="A41" t="s">
        <v>551</v>
      </c>
      <c r="B41" t="s">
        <v>2369</v>
      </c>
      <c r="C41" t="s">
        <v>2289</v>
      </c>
      <c r="D41" t="s">
        <v>2324</v>
      </c>
      <c r="E41" t="s">
        <v>2304</v>
      </c>
      <c r="F41" t="s">
        <v>2309</v>
      </c>
      <c r="G41" s="2">
        <v>45439</v>
      </c>
      <c r="H41" s="5">
        <v>100000</v>
      </c>
      <c r="I41" t="s">
        <v>2293</v>
      </c>
      <c r="J41" t="s">
        <v>2294</v>
      </c>
    </row>
    <row r="42" spans="1:10" x14ac:dyDescent="0.45">
      <c r="A42" t="s">
        <v>258</v>
      </c>
      <c r="B42" t="s">
        <v>2370</v>
      </c>
      <c r="C42" t="s">
        <v>2289</v>
      </c>
      <c r="D42" t="s">
        <v>2313</v>
      </c>
      <c r="E42" t="s">
        <v>2314</v>
      </c>
      <c r="F42" t="s">
        <v>2298</v>
      </c>
      <c r="G42" s="2">
        <v>45231</v>
      </c>
      <c r="H42" s="5">
        <v>150000</v>
      </c>
      <c r="I42" t="s">
        <v>2293</v>
      </c>
      <c r="J42" t="s">
        <v>2294</v>
      </c>
    </row>
    <row r="43" spans="1:10" x14ac:dyDescent="0.45">
      <c r="A43" t="s">
        <v>599</v>
      </c>
      <c r="B43" t="s">
        <v>2332</v>
      </c>
      <c r="C43" t="s">
        <v>2340</v>
      </c>
      <c r="D43" t="s">
        <v>2320</v>
      </c>
      <c r="E43" t="s">
        <v>2321</v>
      </c>
      <c r="F43" t="s">
        <v>2322</v>
      </c>
      <c r="G43" s="2">
        <v>45666</v>
      </c>
      <c r="H43" s="5">
        <v>50000</v>
      </c>
      <c r="I43" t="s">
        <v>2299</v>
      </c>
      <c r="J43" t="s">
        <v>2294</v>
      </c>
    </row>
    <row r="44" spans="1:10" x14ac:dyDescent="0.45">
      <c r="A44" t="s">
        <v>142</v>
      </c>
      <c r="B44" t="s">
        <v>2371</v>
      </c>
      <c r="C44" t="s">
        <v>2302</v>
      </c>
      <c r="D44" t="s">
        <v>2372</v>
      </c>
      <c r="E44" t="s">
        <v>2373</v>
      </c>
      <c r="F44" t="s">
        <v>2318</v>
      </c>
      <c r="G44" s="2">
        <v>45068</v>
      </c>
      <c r="H44" s="5">
        <v>100000</v>
      </c>
      <c r="I44" t="s">
        <v>2293</v>
      </c>
      <c r="J44" t="s">
        <v>2294</v>
      </c>
    </row>
    <row r="45" spans="1:10" x14ac:dyDescent="0.45">
      <c r="A45" t="s">
        <v>927</v>
      </c>
      <c r="B45" t="s">
        <v>2374</v>
      </c>
      <c r="C45" t="s">
        <v>2340</v>
      </c>
      <c r="D45" t="s">
        <v>2330</v>
      </c>
      <c r="E45" t="s">
        <v>2291</v>
      </c>
      <c r="F45" t="s">
        <v>2292</v>
      </c>
      <c r="G45" s="2">
        <v>45717</v>
      </c>
      <c r="H45" s="5">
        <v>100000</v>
      </c>
      <c r="I45" t="s">
        <v>2305</v>
      </c>
      <c r="J45" t="s">
        <v>2294</v>
      </c>
    </row>
    <row r="46" spans="1:10" x14ac:dyDescent="0.45">
      <c r="A46" t="s">
        <v>833</v>
      </c>
      <c r="B46" t="s">
        <v>2375</v>
      </c>
      <c r="C46" t="s">
        <v>2302</v>
      </c>
      <c r="D46" t="s">
        <v>2376</v>
      </c>
      <c r="E46" t="s">
        <v>2377</v>
      </c>
      <c r="F46" t="s">
        <v>2298</v>
      </c>
      <c r="G46" s="2">
        <v>44897</v>
      </c>
      <c r="H46" s="5">
        <v>150000</v>
      </c>
      <c r="I46" t="s">
        <v>2310</v>
      </c>
      <c r="J46" t="s">
        <v>2294</v>
      </c>
    </row>
    <row r="47" spans="1:10" x14ac:dyDescent="0.45">
      <c r="A47" t="s">
        <v>1061</v>
      </c>
      <c r="B47" t="s">
        <v>2378</v>
      </c>
      <c r="C47" t="s">
        <v>2289</v>
      </c>
      <c r="D47" t="s">
        <v>2363</v>
      </c>
      <c r="E47" t="s">
        <v>2364</v>
      </c>
      <c r="F47" t="s">
        <v>2298</v>
      </c>
      <c r="G47" s="2">
        <v>44968</v>
      </c>
      <c r="H47" s="5">
        <v>50000</v>
      </c>
      <c r="I47" t="s">
        <v>2305</v>
      </c>
      <c r="J47" t="s">
        <v>2294</v>
      </c>
    </row>
    <row r="48" spans="1:10" x14ac:dyDescent="0.45">
      <c r="A48" t="s">
        <v>890</v>
      </c>
      <c r="B48" t="s">
        <v>2379</v>
      </c>
      <c r="C48" t="s">
        <v>2302</v>
      </c>
      <c r="D48" t="s">
        <v>2330</v>
      </c>
      <c r="E48" t="s">
        <v>2291</v>
      </c>
      <c r="F48" t="s">
        <v>2292</v>
      </c>
      <c r="G48" s="2">
        <v>45791</v>
      </c>
      <c r="H48" s="5">
        <v>50000</v>
      </c>
      <c r="I48" t="s">
        <v>2293</v>
      </c>
      <c r="J48" t="s">
        <v>2294</v>
      </c>
    </row>
    <row r="49" spans="1:10" x14ac:dyDescent="0.45">
      <c r="A49" t="s">
        <v>663</v>
      </c>
      <c r="B49" t="s">
        <v>2380</v>
      </c>
      <c r="C49" t="s">
        <v>2289</v>
      </c>
      <c r="D49" t="s">
        <v>2316</v>
      </c>
      <c r="E49" t="s">
        <v>2317</v>
      </c>
      <c r="F49" t="s">
        <v>2318</v>
      </c>
      <c r="G49" s="2">
        <v>45320</v>
      </c>
      <c r="H49" s="5">
        <v>50000</v>
      </c>
      <c r="I49" t="s">
        <v>2305</v>
      </c>
      <c r="J49" t="s">
        <v>2294</v>
      </c>
    </row>
    <row r="50" spans="1:10" x14ac:dyDescent="0.45">
      <c r="A50" t="s">
        <v>991</v>
      </c>
      <c r="B50" t="s">
        <v>2381</v>
      </c>
      <c r="C50" t="s">
        <v>2289</v>
      </c>
      <c r="D50" t="s">
        <v>2320</v>
      </c>
      <c r="E50" t="s">
        <v>2321</v>
      </c>
      <c r="F50" t="s">
        <v>2322</v>
      </c>
      <c r="G50" s="2">
        <v>45303</v>
      </c>
      <c r="H50" s="5">
        <v>750000</v>
      </c>
      <c r="I50" t="s">
        <v>2293</v>
      </c>
      <c r="J50" t="s">
        <v>2294</v>
      </c>
    </row>
    <row r="51" spans="1:10" x14ac:dyDescent="0.45">
      <c r="A51" t="s">
        <v>1486</v>
      </c>
      <c r="B51" t="s">
        <v>2382</v>
      </c>
      <c r="C51" t="s">
        <v>2302</v>
      </c>
      <c r="D51" t="s">
        <v>2383</v>
      </c>
      <c r="E51" t="s">
        <v>2304</v>
      </c>
      <c r="F51" t="s">
        <v>2292</v>
      </c>
      <c r="G51" s="2">
        <v>45894</v>
      </c>
      <c r="H51" s="5">
        <v>150000</v>
      </c>
      <c r="I51" t="s">
        <v>2305</v>
      </c>
      <c r="J51" t="s">
        <v>2294</v>
      </c>
    </row>
    <row r="52" spans="1:10" x14ac:dyDescent="0.45">
      <c r="A52" t="s">
        <v>855</v>
      </c>
      <c r="B52" t="s">
        <v>2384</v>
      </c>
      <c r="C52" t="s">
        <v>2302</v>
      </c>
      <c r="D52" t="s">
        <v>2349</v>
      </c>
      <c r="E52" t="s">
        <v>2350</v>
      </c>
      <c r="F52" t="s">
        <v>2322</v>
      </c>
      <c r="G52" s="2">
        <v>45775</v>
      </c>
      <c r="H52" s="5">
        <v>150000</v>
      </c>
      <c r="I52" t="s">
        <v>2310</v>
      </c>
      <c r="J52" t="s">
        <v>2294</v>
      </c>
    </row>
    <row r="53" spans="1:10" x14ac:dyDescent="0.45">
      <c r="A53" t="s">
        <v>1317</v>
      </c>
      <c r="B53" t="s">
        <v>2358</v>
      </c>
      <c r="C53" t="s">
        <v>2289</v>
      </c>
      <c r="D53" t="s">
        <v>2372</v>
      </c>
      <c r="E53" t="s">
        <v>2373</v>
      </c>
      <c r="F53" t="s">
        <v>2318</v>
      </c>
      <c r="G53" s="2">
        <v>45513</v>
      </c>
      <c r="H53" s="5">
        <v>500000</v>
      </c>
      <c r="I53" t="s">
        <v>2305</v>
      </c>
      <c r="J53" t="s">
        <v>2294</v>
      </c>
    </row>
    <row r="54" spans="1:10" x14ac:dyDescent="0.45">
      <c r="A54" t="s">
        <v>1010</v>
      </c>
      <c r="B54" t="s">
        <v>2385</v>
      </c>
      <c r="C54" t="s">
        <v>2289</v>
      </c>
      <c r="D54" t="s">
        <v>2386</v>
      </c>
      <c r="E54" t="s">
        <v>2386</v>
      </c>
      <c r="F54" t="s">
        <v>2318</v>
      </c>
      <c r="G54" s="2">
        <v>44996</v>
      </c>
      <c r="H54" s="5">
        <v>150000</v>
      </c>
      <c r="I54" t="s">
        <v>2293</v>
      </c>
      <c r="J54" t="s">
        <v>2294</v>
      </c>
    </row>
    <row r="55" spans="1:10" x14ac:dyDescent="0.45">
      <c r="A55" t="s">
        <v>1207</v>
      </c>
      <c r="B55" t="s">
        <v>2387</v>
      </c>
      <c r="C55" t="s">
        <v>2340</v>
      </c>
      <c r="D55" t="s">
        <v>2366</v>
      </c>
      <c r="E55" t="s">
        <v>2367</v>
      </c>
      <c r="F55" t="s">
        <v>2309</v>
      </c>
      <c r="G55" s="2">
        <v>45620</v>
      </c>
      <c r="H55" s="5">
        <v>100000</v>
      </c>
      <c r="I55" t="s">
        <v>2310</v>
      </c>
      <c r="J55" t="s">
        <v>2294</v>
      </c>
    </row>
    <row r="56" spans="1:10" x14ac:dyDescent="0.45">
      <c r="A56" t="s">
        <v>245</v>
      </c>
      <c r="B56" t="s">
        <v>2388</v>
      </c>
      <c r="C56" t="s">
        <v>2340</v>
      </c>
      <c r="D56" t="s">
        <v>2349</v>
      </c>
      <c r="E56" t="s">
        <v>2350</v>
      </c>
      <c r="F56" t="s">
        <v>2322</v>
      </c>
      <c r="G56" s="2">
        <v>45884</v>
      </c>
      <c r="H56" s="5">
        <v>750000</v>
      </c>
      <c r="I56" t="s">
        <v>2305</v>
      </c>
      <c r="J56" t="s">
        <v>2294</v>
      </c>
    </row>
    <row r="57" spans="1:10" x14ac:dyDescent="0.45">
      <c r="A57" t="s">
        <v>184</v>
      </c>
      <c r="B57" t="s">
        <v>2389</v>
      </c>
      <c r="C57" t="s">
        <v>2289</v>
      </c>
      <c r="D57" t="s">
        <v>2372</v>
      </c>
      <c r="E57" t="s">
        <v>2373</v>
      </c>
      <c r="F57" t="s">
        <v>2318</v>
      </c>
      <c r="G57" s="2">
        <v>45060</v>
      </c>
      <c r="H57" s="5">
        <v>150000</v>
      </c>
      <c r="I57" t="s">
        <v>2293</v>
      </c>
      <c r="J57" t="s">
        <v>2294</v>
      </c>
    </row>
    <row r="58" spans="1:10" x14ac:dyDescent="0.45">
      <c r="A58" t="s">
        <v>710</v>
      </c>
      <c r="B58" t="s">
        <v>2390</v>
      </c>
      <c r="C58" t="s">
        <v>2289</v>
      </c>
      <c r="D58" t="s">
        <v>2307</v>
      </c>
      <c r="E58" t="s">
        <v>2308</v>
      </c>
      <c r="F58" t="s">
        <v>2309</v>
      </c>
      <c r="G58" s="2">
        <v>45689</v>
      </c>
      <c r="H58" s="5">
        <v>150000</v>
      </c>
      <c r="I58" t="s">
        <v>2305</v>
      </c>
      <c r="J58" t="s">
        <v>2294</v>
      </c>
    </row>
    <row r="59" spans="1:10" x14ac:dyDescent="0.45">
      <c r="A59" t="s">
        <v>553</v>
      </c>
      <c r="B59" t="s">
        <v>2391</v>
      </c>
      <c r="C59" t="s">
        <v>2289</v>
      </c>
      <c r="D59" t="s">
        <v>2363</v>
      </c>
      <c r="E59" t="s">
        <v>2364</v>
      </c>
      <c r="F59" t="s">
        <v>2298</v>
      </c>
      <c r="G59" s="2">
        <v>44956</v>
      </c>
      <c r="H59" s="5">
        <v>150000</v>
      </c>
      <c r="I59" t="s">
        <v>2310</v>
      </c>
      <c r="J59" t="s">
        <v>2294</v>
      </c>
    </row>
    <row r="60" spans="1:10" x14ac:dyDescent="0.45">
      <c r="A60" t="s">
        <v>478</v>
      </c>
      <c r="B60" t="s">
        <v>2392</v>
      </c>
      <c r="C60" t="s">
        <v>2302</v>
      </c>
      <c r="D60" t="s">
        <v>2303</v>
      </c>
      <c r="E60" t="s">
        <v>2304</v>
      </c>
      <c r="F60" t="s">
        <v>2292</v>
      </c>
      <c r="G60" s="2">
        <v>45128</v>
      </c>
      <c r="H60" s="5">
        <v>750000</v>
      </c>
      <c r="I60" t="s">
        <v>2305</v>
      </c>
      <c r="J60" t="s">
        <v>2294</v>
      </c>
    </row>
    <row r="61" spans="1:10" x14ac:dyDescent="0.45">
      <c r="A61" t="s">
        <v>486</v>
      </c>
      <c r="B61" t="s">
        <v>2306</v>
      </c>
      <c r="C61" t="s">
        <v>2302</v>
      </c>
      <c r="D61" t="s">
        <v>2366</v>
      </c>
      <c r="E61" t="s">
        <v>2367</v>
      </c>
      <c r="F61" t="s">
        <v>2309</v>
      </c>
      <c r="G61" s="2">
        <v>45168</v>
      </c>
      <c r="H61" s="5">
        <v>100000</v>
      </c>
      <c r="I61" t="s">
        <v>2305</v>
      </c>
      <c r="J61" t="s">
        <v>2294</v>
      </c>
    </row>
    <row r="62" spans="1:10" x14ac:dyDescent="0.45">
      <c r="A62" t="s">
        <v>243</v>
      </c>
      <c r="B62" t="s">
        <v>2311</v>
      </c>
      <c r="C62" t="s">
        <v>2289</v>
      </c>
      <c r="D62" t="s">
        <v>2307</v>
      </c>
      <c r="E62" t="s">
        <v>2308</v>
      </c>
      <c r="F62" t="s">
        <v>2309</v>
      </c>
      <c r="G62" s="2">
        <v>44673</v>
      </c>
      <c r="H62" s="5">
        <v>500000</v>
      </c>
      <c r="I62" t="s">
        <v>2310</v>
      </c>
      <c r="J62" t="s">
        <v>2325</v>
      </c>
    </row>
    <row r="63" spans="1:10" x14ac:dyDescent="0.45">
      <c r="A63" t="s">
        <v>595</v>
      </c>
      <c r="B63" t="s">
        <v>2393</v>
      </c>
      <c r="C63" t="s">
        <v>2340</v>
      </c>
      <c r="D63" t="s">
        <v>2349</v>
      </c>
      <c r="E63" t="s">
        <v>2350</v>
      </c>
      <c r="F63" t="s">
        <v>2322</v>
      </c>
      <c r="G63" s="2">
        <v>45523</v>
      </c>
      <c r="H63" s="5">
        <v>250000</v>
      </c>
      <c r="I63" t="s">
        <v>2305</v>
      </c>
      <c r="J63" t="s">
        <v>2294</v>
      </c>
    </row>
    <row r="64" spans="1:10" x14ac:dyDescent="0.45">
      <c r="A64" t="s">
        <v>761</v>
      </c>
      <c r="B64" t="s">
        <v>2394</v>
      </c>
      <c r="C64" t="s">
        <v>2289</v>
      </c>
      <c r="D64" t="s">
        <v>2316</v>
      </c>
      <c r="E64" t="s">
        <v>2317</v>
      </c>
      <c r="F64" t="s">
        <v>2318</v>
      </c>
      <c r="G64" s="2">
        <v>44695</v>
      </c>
      <c r="H64" s="5">
        <v>250000</v>
      </c>
      <c r="I64" t="s">
        <v>2305</v>
      </c>
      <c r="J64" t="s">
        <v>2294</v>
      </c>
    </row>
    <row r="65" spans="1:10" x14ac:dyDescent="0.45">
      <c r="A65" t="s">
        <v>1032</v>
      </c>
      <c r="B65" t="s">
        <v>2395</v>
      </c>
      <c r="C65" t="s">
        <v>2302</v>
      </c>
      <c r="D65" t="s">
        <v>2316</v>
      </c>
      <c r="E65" t="s">
        <v>2317</v>
      </c>
      <c r="F65" t="s">
        <v>2318</v>
      </c>
      <c r="G65" s="2">
        <v>45184</v>
      </c>
      <c r="H65" s="5">
        <v>50000</v>
      </c>
      <c r="I65" t="s">
        <v>2299</v>
      </c>
      <c r="J65" t="s">
        <v>2294</v>
      </c>
    </row>
    <row r="66" spans="1:10" x14ac:dyDescent="0.45">
      <c r="A66" t="s">
        <v>1022</v>
      </c>
      <c r="B66" t="s">
        <v>2396</v>
      </c>
      <c r="C66" t="s">
        <v>2302</v>
      </c>
      <c r="D66" t="s">
        <v>2320</v>
      </c>
      <c r="E66" t="s">
        <v>2321</v>
      </c>
      <c r="F66" t="s">
        <v>2322</v>
      </c>
      <c r="G66" s="2">
        <v>45341</v>
      </c>
      <c r="H66" s="5">
        <v>250000</v>
      </c>
      <c r="I66" t="s">
        <v>2299</v>
      </c>
      <c r="J66" t="s">
        <v>2294</v>
      </c>
    </row>
    <row r="67" spans="1:10" x14ac:dyDescent="0.45">
      <c r="A67" t="s">
        <v>800</v>
      </c>
      <c r="B67" t="s">
        <v>2397</v>
      </c>
      <c r="C67" t="s">
        <v>2340</v>
      </c>
      <c r="D67" t="s">
        <v>2324</v>
      </c>
      <c r="E67" t="s">
        <v>2304</v>
      </c>
      <c r="F67" t="s">
        <v>2309</v>
      </c>
      <c r="G67" s="2">
        <v>44685</v>
      </c>
      <c r="H67" s="5">
        <v>500000</v>
      </c>
      <c r="I67" t="s">
        <v>2299</v>
      </c>
      <c r="J67" t="s">
        <v>2294</v>
      </c>
    </row>
    <row r="68" spans="1:10" x14ac:dyDescent="0.45">
      <c r="A68" t="s">
        <v>876</v>
      </c>
      <c r="B68" t="s">
        <v>2398</v>
      </c>
      <c r="C68" t="s">
        <v>2289</v>
      </c>
      <c r="D68" t="s">
        <v>2290</v>
      </c>
      <c r="E68" t="s">
        <v>2291</v>
      </c>
      <c r="F68" t="s">
        <v>2292</v>
      </c>
      <c r="G68" s="2">
        <v>44728</v>
      </c>
      <c r="H68" s="5">
        <v>100000</v>
      </c>
      <c r="I68" t="s">
        <v>2310</v>
      </c>
      <c r="J68" t="s">
        <v>2294</v>
      </c>
    </row>
    <row r="69" spans="1:10" x14ac:dyDescent="0.45">
      <c r="A69" t="s">
        <v>1518</v>
      </c>
      <c r="B69" t="s">
        <v>2399</v>
      </c>
      <c r="C69" t="s">
        <v>2340</v>
      </c>
      <c r="D69" t="s">
        <v>2303</v>
      </c>
      <c r="E69" t="s">
        <v>2304</v>
      </c>
      <c r="F69" t="s">
        <v>2292</v>
      </c>
      <c r="G69" s="2">
        <v>45778</v>
      </c>
      <c r="H69" s="5">
        <v>250000</v>
      </c>
      <c r="I69" t="s">
        <v>2310</v>
      </c>
      <c r="J69" t="s">
        <v>2294</v>
      </c>
    </row>
    <row r="70" spans="1:10" x14ac:dyDescent="0.45">
      <c r="A70" t="s">
        <v>358</v>
      </c>
      <c r="B70" t="s">
        <v>2400</v>
      </c>
      <c r="C70" t="s">
        <v>2289</v>
      </c>
      <c r="D70" t="s">
        <v>2363</v>
      </c>
      <c r="E70" t="s">
        <v>2364</v>
      </c>
      <c r="F70" t="s">
        <v>2298</v>
      </c>
      <c r="G70" s="2">
        <v>45040</v>
      </c>
      <c r="H70" s="5">
        <v>150000</v>
      </c>
      <c r="I70" t="s">
        <v>2293</v>
      </c>
      <c r="J70" t="s">
        <v>2294</v>
      </c>
    </row>
    <row r="71" spans="1:10" x14ac:dyDescent="0.45">
      <c r="A71" t="s">
        <v>324</v>
      </c>
      <c r="B71" t="s">
        <v>2401</v>
      </c>
      <c r="C71" t="s">
        <v>2340</v>
      </c>
      <c r="D71" t="s">
        <v>2290</v>
      </c>
      <c r="E71" t="s">
        <v>2291</v>
      </c>
      <c r="F71" t="s">
        <v>2292</v>
      </c>
      <c r="G71" s="2">
        <v>45888</v>
      </c>
      <c r="H71" s="5">
        <v>100000</v>
      </c>
      <c r="I71" t="s">
        <v>2299</v>
      </c>
      <c r="J71" t="s">
        <v>2294</v>
      </c>
    </row>
    <row r="72" spans="1:10" x14ac:dyDescent="0.45">
      <c r="A72" t="s">
        <v>1525</v>
      </c>
      <c r="B72" t="s">
        <v>2402</v>
      </c>
      <c r="C72" t="s">
        <v>2302</v>
      </c>
      <c r="D72" t="s">
        <v>2372</v>
      </c>
      <c r="E72" t="s">
        <v>2373</v>
      </c>
      <c r="F72" t="s">
        <v>2318</v>
      </c>
      <c r="G72" s="2">
        <v>45780</v>
      </c>
      <c r="H72" s="5">
        <v>750000</v>
      </c>
      <c r="I72" t="s">
        <v>2293</v>
      </c>
      <c r="J72" t="s">
        <v>2325</v>
      </c>
    </row>
    <row r="73" spans="1:10" x14ac:dyDescent="0.45">
      <c r="A73" t="s">
        <v>903</v>
      </c>
      <c r="B73" t="s">
        <v>2403</v>
      </c>
      <c r="C73" t="s">
        <v>2340</v>
      </c>
      <c r="D73" t="s">
        <v>2355</v>
      </c>
      <c r="E73" t="s">
        <v>2356</v>
      </c>
      <c r="F73" t="s">
        <v>2322</v>
      </c>
      <c r="G73" s="2">
        <v>45995</v>
      </c>
      <c r="H73" s="5">
        <v>250000</v>
      </c>
      <c r="I73" t="s">
        <v>2299</v>
      </c>
      <c r="J73" t="s">
        <v>2294</v>
      </c>
    </row>
    <row r="74" spans="1:10" x14ac:dyDescent="0.45">
      <c r="A74" t="s">
        <v>448</v>
      </c>
      <c r="B74" t="s">
        <v>2404</v>
      </c>
      <c r="C74" t="s">
        <v>2340</v>
      </c>
      <c r="D74" t="s">
        <v>2349</v>
      </c>
      <c r="E74" t="s">
        <v>2350</v>
      </c>
      <c r="F74" t="s">
        <v>2322</v>
      </c>
      <c r="G74" s="2">
        <v>45446</v>
      </c>
      <c r="H74" s="5">
        <v>750000</v>
      </c>
      <c r="I74" t="s">
        <v>2310</v>
      </c>
      <c r="J74" t="s">
        <v>2294</v>
      </c>
    </row>
    <row r="75" spans="1:10" x14ac:dyDescent="0.45">
      <c r="A75" t="s">
        <v>1177</v>
      </c>
      <c r="B75" t="s">
        <v>2405</v>
      </c>
      <c r="C75" t="s">
        <v>2302</v>
      </c>
      <c r="D75" t="s">
        <v>2372</v>
      </c>
      <c r="E75" t="s">
        <v>2373</v>
      </c>
      <c r="F75" t="s">
        <v>2318</v>
      </c>
      <c r="G75" s="2">
        <v>45938</v>
      </c>
      <c r="H75" s="5">
        <v>150000</v>
      </c>
      <c r="I75" t="s">
        <v>2305</v>
      </c>
      <c r="J75" t="s">
        <v>2294</v>
      </c>
    </row>
    <row r="76" spans="1:10" x14ac:dyDescent="0.45">
      <c r="A76" t="s">
        <v>684</v>
      </c>
      <c r="B76" t="s">
        <v>2406</v>
      </c>
      <c r="C76" t="s">
        <v>2340</v>
      </c>
      <c r="D76" t="s">
        <v>2303</v>
      </c>
      <c r="E76" t="s">
        <v>2304</v>
      </c>
      <c r="F76" t="s">
        <v>2292</v>
      </c>
      <c r="G76" s="2">
        <v>45131</v>
      </c>
      <c r="H76" s="5">
        <v>100000</v>
      </c>
      <c r="I76" t="s">
        <v>2299</v>
      </c>
      <c r="J76" t="s">
        <v>2294</v>
      </c>
    </row>
    <row r="77" spans="1:10" x14ac:dyDescent="0.45">
      <c r="A77" t="s">
        <v>220</v>
      </c>
      <c r="B77" t="s">
        <v>2407</v>
      </c>
      <c r="C77" t="s">
        <v>2289</v>
      </c>
      <c r="D77" t="s">
        <v>2349</v>
      </c>
      <c r="E77" t="s">
        <v>2350</v>
      </c>
      <c r="F77" t="s">
        <v>2322</v>
      </c>
      <c r="G77" s="2">
        <v>45244</v>
      </c>
      <c r="H77" s="5">
        <v>150000</v>
      </c>
      <c r="I77" t="s">
        <v>2293</v>
      </c>
      <c r="J77" t="s">
        <v>2294</v>
      </c>
    </row>
    <row r="78" spans="1:10" x14ac:dyDescent="0.45">
      <c r="A78" t="s">
        <v>398</v>
      </c>
      <c r="B78" t="s">
        <v>2408</v>
      </c>
      <c r="C78" t="s">
        <v>2289</v>
      </c>
      <c r="D78" t="s">
        <v>2296</v>
      </c>
      <c r="E78" t="s">
        <v>2297</v>
      </c>
      <c r="F78" t="s">
        <v>2298</v>
      </c>
      <c r="G78" s="2">
        <v>45382</v>
      </c>
      <c r="H78" s="5">
        <v>500000</v>
      </c>
      <c r="I78" t="s">
        <v>2310</v>
      </c>
      <c r="J78" t="s">
        <v>2294</v>
      </c>
    </row>
    <row r="79" spans="1:10" x14ac:dyDescent="0.45">
      <c r="A79" t="s">
        <v>804</v>
      </c>
      <c r="B79" t="s">
        <v>2409</v>
      </c>
      <c r="C79" t="s">
        <v>2302</v>
      </c>
      <c r="D79" t="s">
        <v>2313</v>
      </c>
      <c r="E79" t="s">
        <v>2314</v>
      </c>
      <c r="F79" t="s">
        <v>2298</v>
      </c>
      <c r="G79" s="2">
        <v>45389</v>
      </c>
      <c r="H79" s="5">
        <v>500000</v>
      </c>
      <c r="I79" t="s">
        <v>2293</v>
      </c>
      <c r="J79" t="s">
        <v>2294</v>
      </c>
    </row>
    <row r="80" spans="1:10" x14ac:dyDescent="0.45">
      <c r="A80" t="s">
        <v>535</v>
      </c>
      <c r="B80" t="s">
        <v>2384</v>
      </c>
      <c r="C80" t="s">
        <v>2289</v>
      </c>
      <c r="D80" t="s">
        <v>2307</v>
      </c>
      <c r="E80" t="s">
        <v>2308</v>
      </c>
      <c r="F80" t="s">
        <v>2309</v>
      </c>
      <c r="G80" s="2">
        <v>45623</v>
      </c>
      <c r="H80" s="5">
        <v>150000</v>
      </c>
      <c r="I80" t="s">
        <v>2305</v>
      </c>
      <c r="J80" t="s">
        <v>2294</v>
      </c>
    </row>
    <row r="81" spans="1:10" x14ac:dyDescent="0.45">
      <c r="A81" t="s">
        <v>353</v>
      </c>
      <c r="B81" t="s">
        <v>2371</v>
      </c>
      <c r="C81" t="s">
        <v>2289</v>
      </c>
      <c r="D81" t="s">
        <v>2355</v>
      </c>
      <c r="E81" t="s">
        <v>2356</v>
      </c>
      <c r="F81" t="s">
        <v>2322</v>
      </c>
      <c r="G81" s="2">
        <v>45686</v>
      </c>
      <c r="H81" s="5">
        <v>100000</v>
      </c>
      <c r="I81" t="s">
        <v>2299</v>
      </c>
      <c r="J81" t="s">
        <v>2294</v>
      </c>
    </row>
    <row r="82" spans="1:10" x14ac:dyDescent="0.45">
      <c r="A82" t="s">
        <v>732</v>
      </c>
      <c r="B82" t="s">
        <v>2393</v>
      </c>
      <c r="C82" t="s">
        <v>2302</v>
      </c>
      <c r="D82" t="s">
        <v>2349</v>
      </c>
      <c r="E82" t="s">
        <v>2350</v>
      </c>
      <c r="F82" t="s">
        <v>2322</v>
      </c>
      <c r="G82" s="2">
        <v>45808</v>
      </c>
      <c r="H82" s="5">
        <v>100000</v>
      </c>
      <c r="I82" t="s">
        <v>2293</v>
      </c>
      <c r="J82" t="s">
        <v>2294</v>
      </c>
    </row>
    <row r="83" spans="1:10" x14ac:dyDescent="0.45">
      <c r="A83" t="s">
        <v>11</v>
      </c>
      <c r="B83" t="s">
        <v>2410</v>
      </c>
      <c r="C83" t="s">
        <v>2289</v>
      </c>
      <c r="D83" t="s">
        <v>2386</v>
      </c>
      <c r="E83" t="s">
        <v>2386</v>
      </c>
      <c r="F83" t="s">
        <v>2318</v>
      </c>
      <c r="G83" s="2">
        <v>44794</v>
      </c>
      <c r="H83" s="5">
        <v>250000</v>
      </c>
      <c r="I83" t="s">
        <v>2299</v>
      </c>
      <c r="J83" t="s">
        <v>2294</v>
      </c>
    </row>
    <row r="84" spans="1:10" x14ac:dyDescent="0.45">
      <c r="A84" t="s">
        <v>466</v>
      </c>
      <c r="B84" t="s">
        <v>2411</v>
      </c>
      <c r="C84" t="s">
        <v>2340</v>
      </c>
      <c r="D84" t="s">
        <v>2383</v>
      </c>
      <c r="E84" t="s">
        <v>2304</v>
      </c>
      <c r="F84" t="s">
        <v>2292</v>
      </c>
      <c r="G84" s="2">
        <v>45121</v>
      </c>
      <c r="H84" s="5">
        <v>250000</v>
      </c>
      <c r="I84" t="s">
        <v>2293</v>
      </c>
      <c r="J84" t="s">
        <v>2325</v>
      </c>
    </row>
    <row r="85" spans="1:10" x14ac:dyDescent="0.45">
      <c r="A85" t="s">
        <v>691</v>
      </c>
      <c r="B85" t="s">
        <v>2301</v>
      </c>
      <c r="C85" t="s">
        <v>2289</v>
      </c>
      <c r="D85" t="s">
        <v>2330</v>
      </c>
      <c r="E85" t="s">
        <v>2291</v>
      </c>
      <c r="F85" t="s">
        <v>2292</v>
      </c>
      <c r="G85" s="2">
        <v>44952</v>
      </c>
      <c r="H85" s="5">
        <v>500000</v>
      </c>
      <c r="I85" t="s">
        <v>2305</v>
      </c>
      <c r="J85" t="s">
        <v>2294</v>
      </c>
    </row>
    <row r="86" spans="1:10" x14ac:dyDescent="0.45">
      <c r="A86" t="s">
        <v>38</v>
      </c>
      <c r="B86" t="s">
        <v>2412</v>
      </c>
      <c r="C86" t="s">
        <v>2289</v>
      </c>
      <c r="D86" t="s">
        <v>2372</v>
      </c>
      <c r="E86" t="s">
        <v>2373</v>
      </c>
      <c r="F86" t="s">
        <v>2318</v>
      </c>
      <c r="G86" s="2">
        <v>45601</v>
      </c>
      <c r="H86" s="5">
        <v>150000</v>
      </c>
      <c r="I86" t="s">
        <v>2293</v>
      </c>
      <c r="J86" t="s">
        <v>2294</v>
      </c>
    </row>
    <row r="87" spans="1:10" x14ac:dyDescent="0.45">
      <c r="A87" t="s">
        <v>1527</v>
      </c>
      <c r="B87" t="s">
        <v>2381</v>
      </c>
      <c r="C87" t="s">
        <v>2302</v>
      </c>
      <c r="D87" t="s">
        <v>2363</v>
      </c>
      <c r="E87" t="s">
        <v>2364</v>
      </c>
      <c r="F87" t="s">
        <v>2298</v>
      </c>
      <c r="G87" s="2">
        <v>45476</v>
      </c>
      <c r="H87" s="5">
        <v>500000</v>
      </c>
      <c r="I87" t="s">
        <v>2305</v>
      </c>
      <c r="J87" t="s">
        <v>2294</v>
      </c>
    </row>
    <row r="88" spans="1:10" x14ac:dyDescent="0.45">
      <c r="A88" t="s">
        <v>1862</v>
      </c>
      <c r="B88" t="s">
        <v>2413</v>
      </c>
      <c r="C88" t="s">
        <v>2302</v>
      </c>
      <c r="D88" t="s">
        <v>2307</v>
      </c>
      <c r="E88" t="s">
        <v>2308</v>
      </c>
      <c r="F88" t="s">
        <v>2309</v>
      </c>
      <c r="G88" s="2">
        <v>44948</v>
      </c>
      <c r="H88" s="5">
        <v>750000</v>
      </c>
      <c r="I88" t="s">
        <v>2310</v>
      </c>
      <c r="J88" t="s">
        <v>2294</v>
      </c>
    </row>
    <row r="89" spans="1:10" x14ac:dyDescent="0.45">
      <c r="A89" t="s">
        <v>322</v>
      </c>
      <c r="B89" t="s">
        <v>2414</v>
      </c>
      <c r="C89" t="s">
        <v>2302</v>
      </c>
      <c r="D89" t="s">
        <v>2320</v>
      </c>
      <c r="E89" t="s">
        <v>2321</v>
      </c>
      <c r="F89" t="s">
        <v>2322</v>
      </c>
      <c r="G89" s="2">
        <v>46006</v>
      </c>
      <c r="H89" s="5">
        <v>250000</v>
      </c>
      <c r="I89" t="s">
        <v>2305</v>
      </c>
      <c r="J89" t="s">
        <v>2294</v>
      </c>
    </row>
    <row r="90" spans="1:10" x14ac:dyDescent="0.45">
      <c r="A90" t="s">
        <v>117</v>
      </c>
      <c r="B90" t="s">
        <v>2415</v>
      </c>
      <c r="C90" t="s">
        <v>2289</v>
      </c>
      <c r="D90" t="s">
        <v>2383</v>
      </c>
      <c r="E90" t="s">
        <v>2304</v>
      </c>
      <c r="F90" t="s">
        <v>2292</v>
      </c>
      <c r="G90" s="2">
        <v>45770</v>
      </c>
      <c r="H90" s="5">
        <v>150000</v>
      </c>
      <c r="I90" t="s">
        <v>2293</v>
      </c>
      <c r="J90" t="s">
        <v>2294</v>
      </c>
    </row>
    <row r="91" spans="1:10" x14ac:dyDescent="0.45">
      <c r="A91" t="s">
        <v>763</v>
      </c>
      <c r="B91" t="s">
        <v>2416</v>
      </c>
      <c r="C91" t="s">
        <v>2302</v>
      </c>
      <c r="D91" t="s">
        <v>2355</v>
      </c>
      <c r="E91" t="s">
        <v>2356</v>
      </c>
      <c r="F91" t="s">
        <v>2322</v>
      </c>
      <c r="G91" s="2">
        <v>44593</v>
      </c>
      <c r="H91" s="5">
        <v>750000</v>
      </c>
      <c r="I91" t="s">
        <v>2310</v>
      </c>
      <c r="J91" t="s">
        <v>2294</v>
      </c>
    </row>
    <row r="92" spans="1:10" x14ac:dyDescent="0.45">
      <c r="A92" t="s">
        <v>582</v>
      </c>
      <c r="B92" t="s">
        <v>2407</v>
      </c>
      <c r="C92" t="s">
        <v>2302</v>
      </c>
      <c r="D92" t="s">
        <v>2383</v>
      </c>
      <c r="E92" t="s">
        <v>2304</v>
      </c>
      <c r="F92" t="s">
        <v>2292</v>
      </c>
      <c r="G92" s="2">
        <v>45104</v>
      </c>
      <c r="H92" s="5">
        <v>150000</v>
      </c>
      <c r="I92" t="s">
        <v>2305</v>
      </c>
      <c r="J92" t="s">
        <v>2294</v>
      </c>
    </row>
    <row r="93" spans="1:10" x14ac:dyDescent="0.45">
      <c r="A93" t="s">
        <v>195</v>
      </c>
      <c r="B93" t="s">
        <v>2417</v>
      </c>
      <c r="C93" t="s">
        <v>2302</v>
      </c>
      <c r="D93" t="s">
        <v>2372</v>
      </c>
      <c r="E93" t="s">
        <v>2373</v>
      </c>
      <c r="F93" t="s">
        <v>2318</v>
      </c>
      <c r="G93" s="2">
        <v>45654</v>
      </c>
      <c r="H93" s="5">
        <v>250000</v>
      </c>
      <c r="I93" t="s">
        <v>2299</v>
      </c>
      <c r="J93" t="s">
        <v>2294</v>
      </c>
    </row>
    <row r="94" spans="1:10" x14ac:dyDescent="0.45">
      <c r="A94" t="s">
        <v>297</v>
      </c>
      <c r="B94" t="s">
        <v>2418</v>
      </c>
      <c r="C94" t="s">
        <v>2289</v>
      </c>
      <c r="D94" t="s">
        <v>2349</v>
      </c>
      <c r="E94" t="s">
        <v>2350</v>
      </c>
      <c r="F94" t="s">
        <v>2322</v>
      </c>
      <c r="G94" s="2">
        <v>44702</v>
      </c>
      <c r="H94" s="5">
        <v>100000</v>
      </c>
      <c r="I94" t="s">
        <v>2305</v>
      </c>
      <c r="J94" t="s">
        <v>2325</v>
      </c>
    </row>
    <row r="95" spans="1:10" x14ac:dyDescent="0.45">
      <c r="A95" t="s">
        <v>828</v>
      </c>
      <c r="B95" t="s">
        <v>2419</v>
      </c>
      <c r="C95" t="s">
        <v>2289</v>
      </c>
      <c r="D95" t="s">
        <v>2330</v>
      </c>
      <c r="E95" t="s">
        <v>2291</v>
      </c>
      <c r="F95" t="s">
        <v>2292</v>
      </c>
      <c r="G95" s="2">
        <v>44763</v>
      </c>
      <c r="H95" s="5">
        <v>750000</v>
      </c>
      <c r="I95" t="s">
        <v>2293</v>
      </c>
      <c r="J95" t="s">
        <v>2294</v>
      </c>
    </row>
    <row r="96" spans="1:10" x14ac:dyDescent="0.45">
      <c r="A96" t="s">
        <v>125</v>
      </c>
      <c r="B96" t="s">
        <v>2420</v>
      </c>
      <c r="C96" t="s">
        <v>2302</v>
      </c>
      <c r="D96" t="s">
        <v>2303</v>
      </c>
      <c r="E96" t="s">
        <v>2304</v>
      </c>
      <c r="F96" t="s">
        <v>2292</v>
      </c>
      <c r="G96" s="2">
        <v>44656</v>
      </c>
      <c r="H96" s="5">
        <v>150000</v>
      </c>
      <c r="I96" t="s">
        <v>2293</v>
      </c>
      <c r="J96" t="s">
        <v>2294</v>
      </c>
    </row>
    <row r="97" spans="1:10" x14ac:dyDescent="0.45">
      <c r="A97" t="s">
        <v>360</v>
      </c>
      <c r="B97" t="s">
        <v>2421</v>
      </c>
      <c r="C97" t="s">
        <v>2289</v>
      </c>
      <c r="D97" t="s">
        <v>2376</v>
      </c>
      <c r="E97" t="s">
        <v>2377</v>
      </c>
      <c r="F97" t="s">
        <v>2298</v>
      </c>
      <c r="G97" s="2">
        <v>45405</v>
      </c>
      <c r="H97" s="5">
        <v>500000</v>
      </c>
      <c r="I97" t="s">
        <v>2293</v>
      </c>
      <c r="J97" t="s">
        <v>2294</v>
      </c>
    </row>
    <row r="98" spans="1:10" x14ac:dyDescent="0.45">
      <c r="A98" t="s">
        <v>332</v>
      </c>
      <c r="B98" t="s">
        <v>2422</v>
      </c>
      <c r="C98" t="s">
        <v>2340</v>
      </c>
      <c r="D98" t="s">
        <v>2303</v>
      </c>
      <c r="E98" t="s">
        <v>2304</v>
      </c>
      <c r="F98" t="s">
        <v>2292</v>
      </c>
      <c r="G98" s="2">
        <v>45055</v>
      </c>
      <c r="H98" s="5">
        <v>250000</v>
      </c>
      <c r="I98" t="s">
        <v>2299</v>
      </c>
      <c r="J98" t="s">
        <v>2294</v>
      </c>
    </row>
    <row r="99" spans="1:10" x14ac:dyDescent="0.45">
      <c r="A99" t="s">
        <v>375</v>
      </c>
      <c r="B99" t="s">
        <v>2423</v>
      </c>
      <c r="C99" t="s">
        <v>2340</v>
      </c>
      <c r="D99" t="s">
        <v>2355</v>
      </c>
      <c r="E99" t="s">
        <v>2356</v>
      </c>
      <c r="F99" t="s">
        <v>2322</v>
      </c>
      <c r="G99" s="2">
        <v>45927</v>
      </c>
      <c r="H99" s="5">
        <v>50000</v>
      </c>
      <c r="I99" t="s">
        <v>2293</v>
      </c>
      <c r="J99" t="s">
        <v>2294</v>
      </c>
    </row>
    <row r="100" spans="1:10" x14ac:dyDescent="0.45">
      <c r="A100" t="s">
        <v>953</v>
      </c>
      <c r="B100" t="s">
        <v>2424</v>
      </c>
      <c r="C100" t="s">
        <v>2289</v>
      </c>
      <c r="D100" t="s">
        <v>2363</v>
      </c>
      <c r="E100" t="s">
        <v>2364</v>
      </c>
      <c r="F100" t="s">
        <v>2298</v>
      </c>
      <c r="G100" s="2">
        <v>45466</v>
      </c>
      <c r="H100" s="5">
        <v>150000</v>
      </c>
      <c r="I100" t="s">
        <v>2299</v>
      </c>
      <c r="J100" t="s">
        <v>2294</v>
      </c>
    </row>
    <row r="101" spans="1:10" x14ac:dyDescent="0.45">
      <c r="A101" t="s">
        <v>947</v>
      </c>
      <c r="B101" t="s">
        <v>2387</v>
      </c>
      <c r="C101" t="s">
        <v>2340</v>
      </c>
      <c r="D101" t="s">
        <v>2320</v>
      </c>
      <c r="E101" t="s">
        <v>2321</v>
      </c>
      <c r="F101" t="s">
        <v>2322</v>
      </c>
      <c r="G101" s="2">
        <v>45180</v>
      </c>
      <c r="H101" s="5">
        <v>100000</v>
      </c>
      <c r="I101" t="s">
        <v>2299</v>
      </c>
      <c r="J101" t="s">
        <v>2294</v>
      </c>
    </row>
    <row r="102" spans="1:10" x14ac:dyDescent="0.45">
      <c r="A102" t="s">
        <v>299</v>
      </c>
      <c r="B102" t="s">
        <v>2425</v>
      </c>
      <c r="C102" t="s">
        <v>2340</v>
      </c>
      <c r="D102" t="s">
        <v>2341</v>
      </c>
      <c r="E102" t="s">
        <v>2341</v>
      </c>
      <c r="F102" t="s">
        <v>2318</v>
      </c>
      <c r="G102" s="2">
        <v>45739</v>
      </c>
      <c r="H102" s="5">
        <v>150000</v>
      </c>
      <c r="I102" t="s">
        <v>2299</v>
      </c>
      <c r="J102" t="s">
        <v>2294</v>
      </c>
    </row>
    <row r="103" spans="1:10" x14ac:dyDescent="0.45">
      <c r="A103" t="s">
        <v>779</v>
      </c>
      <c r="B103" t="s">
        <v>2426</v>
      </c>
      <c r="C103" t="s">
        <v>2340</v>
      </c>
      <c r="D103" t="s">
        <v>2336</v>
      </c>
      <c r="E103" t="s">
        <v>2337</v>
      </c>
      <c r="F103" t="s">
        <v>2322</v>
      </c>
      <c r="G103" s="2">
        <v>45966</v>
      </c>
      <c r="H103" s="5">
        <v>750000</v>
      </c>
      <c r="I103" t="s">
        <v>2299</v>
      </c>
      <c r="J103" t="s">
        <v>2294</v>
      </c>
    </row>
    <row r="104" spans="1:10" x14ac:dyDescent="0.45">
      <c r="A104" t="s">
        <v>265</v>
      </c>
      <c r="B104" t="s">
        <v>2427</v>
      </c>
      <c r="C104" t="s">
        <v>2302</v>
      </c>
      <c r="D104" t="s">
        <v>2349</v>
      </c>
      <c r="E104" t="s">
        <v>2350</v>
      </c>
      <c r="F104" t="s">
        <v>2322</v>
      </c>
      <c r="G104" s="2">
        <v>45033</v>
      </c>
      <c r="H104" s="5">
        <v>500000</v>
      </c>
      <c r="I104" t="s">
        <v>2293</v>
      </c>
      <c r="J104" t="s">
        <v>2294</v>
      </c>
    </row>
    <row r="105" spans="1:10" x14ac:dyDescent="0.45">
      <c r="A105" t="s">
        <v>476</v>
      </c>
      <c r="B105" t="s">
        <v>2428</v>
      </c>
      <c r="C105" t="s">
        <v>2340</v>
      </c>
      <c r="D105" t="s">
        <v>2290</v>
      </c>
      <c r="E105" t="s">
        <v>2291</v>
      </c>
      <c r="F105" t="s">
        <v>2292</v>
      </c>
      <c r="G105" s="2">
        <v>45912</v>
      </c>
      <c r="H105" s="5">
        <v>750000</v>
      </c>
      <c r="I105" t="s">
        <v>2293</v>
      </c>
      <c r="J105" t="s">
        <v>2294</v>
      </c>
    </row>
    <row r="106" spans="1:10" x14ac:dyDescent="0.45">
      <c r="A106" t="s">
        <v>1354</v>
      </c>
      <c r="B106" t="s">
        <v>2429</v>
      </c>
      <c r="C106" t="s">
        <v>2289</v>
      </c>
      <c r="D106" t="s">
        <v>2316</v>
      </c>
      <c r="E106" t="s">
        <v>2317</v>
      </c>
      <c r="F106" t="s">
        <v>2318</v>
      </c>
      <c r="G106" s="2">
        <v>45309</v>
      </c>
      <c r="H106" s="5">
        <v>750000</v>
      </c>
      <c r="I106" t="s">
        <v>2310</v>
      </c>
      <c r="J106" t="s">
        <v>2294</v>
      </c>
    </row>
    <row r="107" spans="1:10" x14ac:dyDescent="0.45">
      <c r="A107" t="s">
        <v>601</v>
      </c>
      <c r="B107" t="s">
        <v>2430</v>
      </c>
      <c r="C107" t="s">
        <v>2289</v>
      </c>
      <c r="D107" t="s">
        <v>2296</v>
      </c>
      <c r="E107" t="s">
        <v>2297</v>
      </c>
      <c r="F107" t="s">
        <v>2298</v>
      </c>
      <c r="G107" s="2">
        <v>44832</v>
      </c>
      <c r="H107" s="5">
        <v>500000</v>
      </c>
      <c r="I107" t="s">
        <v>2293</v>
      </c>
      <c r="J107" t="s">
        <v>2294</v>
      </c>
    </row>
    <row r="108" spans="1:10" x14ac:dyDescent="0.45">
      <c r="A108" t="s">
        <v>1333</v>
      </c>
      <c r="B108" t="s">
        <v>2431</v>
      </c>
      <c r="C108" t="s">
        <v>2302</v>
      </c>
      <c r="D108" t="s">
        <v>2432</v>
      </c>
      <c r="E108" t="s">
        <v>2308</v>
      </c>
      <c r="F108" t="s">
        <v>2309</v>
      </c>
      <c r="G108" s="2">
        <v>45088</v>
      </c>
      <c r="H108" s="5">
        <v>250000</v>
      </c>
      <c r="I108" t="s">
        <v>2299</v>
      </c>
      <c r="J108" t="s">
        <v>2294</v>
      </c>
    </row>
    <row r="109" spans="1:10" x14ac:dyDescent="0.45">
      <c r="A109" t="s">
        <v>835</v>
      </c>
      <c r="B109" t="s">
        <v>2433</v>
      </c>
      <c r="C109" t="s">
        <v>2340</v>
      </c>
      <c r="D109" t="s">
        <v>2296</v>
      </c>
      <c r="E109" t="s">
        <v>2297</v>
      </c>
      <c r="F109" t="s">
        <v>2298</v>
      </c>
      <c r="G109" s="2">
        <v>44716</v>
      </c>
      <c r="H109" s="5">
        <v>100000</v>
      </c>
      <c r="I109" t="s">
        <v>2293</v>
      </c>
      <c r="J109" t="s">
        <v>2294</v>
      </c>
    </row>
    <row r="110" spans="1:10" x14ac:dyDescent="0.45">
      <c r="A110" t="s">
        <v>189</v>
      </c>
      <c r="B110" t="s">
        <v>2418</v>
      </c>
      <c r="C110" t="s">
        <v>2289</v>
      </c>
      <c r="D110" t="s">
        <v>2336</v>
      </c>
      <c r="E110" t="s">
        <v>2337</v>
      </c>
      <c r="F110" t="s">
        <v>2322</v>
      </c>
      <c r="G110" s="2">
        <v>45370</v>
      </c>
      <c r="H110" s="5">
        <v>50000</v>
      </c>
      <c r="I110" t="s">
        <v>2310</v>
      </c>
      <c r="J110" t="s">
        <v>2294</v>
      </c>
    </row>
    <row r="111" spans="1:10" x14ac:dyDescent="0.45">
      <c r="A111" t="s">
        <v>1112</v>
      </c>
      <c r="B111" t="s">
        <v>2434</v>
      </c>
      <c r="C111" t="s">
        <v>2340</v>
      </c>
      <c r="D111" t="s">
        <v>2376</v>
      </c>
      <c r="E111" t="s">
        <v>2377</v>
      </c>
      <c r="F111" t="s">
        <v>2298</v>
      </c>
      <c r="G111" s="2">
        <v>45869</v>
      </c>
      <c r="H111" s="5">
        <v>150000</v>
      </c>
      <c r="I111" t="s">
        <v>2310</v>
      </c>
      <c r="J111" t="s">
        <v>2294</v>
      </c>
    </row>
    <row r="112" spans="1:10" x14ac:dyDescent="0.45">
      <c r="A112" t="s">
        <v>1089</v>
      </c>
      <c r="B112" t="s">
        <v>2435</v>
      </c>
      <c r="C112" t="s">
        <v>2289</v>
      </c>
      <c r="D112" t="s">
        <v>2386</v>
      </c>
      <c r="E112" t="s">
        <v>2386</v>
      </c>
      <c r="F112" t="s">
        <v>2318</v>
      </c>
      <c r="G112" s="2">
        <v>45811</v>
      </c>
      <c r="H112" s="5">
        <v>100000</v>
      </c>
      <c r="I112" t="s">
        <v>2305</v>
      </c>
      <c r="J112" t="s">
        <v>2294</v>
      </c>
    </row>
    <row r="113" spans="1:10" x14ac:dyDescent="0.45">
      <c r="A113" t="s">
        <v>1590</v>
      </c>
      <c r="B113" t="s">
        <v>2436</v>
      </c>
      <c r="C113" t="s">
        <v>2340</v>
      </c>
      <c r="D113" t="s">
        <v>2355</v>
      </c>
      <c r="E113" t="s">
        <v>2356</v>
      </c>
      <c r="F113" t="s">
        <v>2322</v>
      </c>
      <c r="G113" s="2">
        <v>44800</v>
      </c>
      <c r="H113" s="5">
        <v>100000</v>
      </c>
      <c r="I113" t="s">
        <v>2310</v>
      </c>
      <c r="J113" t="s">
        <v>2294</v>
      </c>
    </row>
    <row r="114" spans="1:10" x14ac:dyDescent="0.45">
      <c r="A114" t="s">
        <v>334</v>
      </c>
      <c r="B114" t="s">
        <v>2437</v>
      </c>
      <c r="C114" t="s">
        <v>2289</v>
      </c>
      <c r="D114" t="s">
        <v>2349</v>
      </c>
      <c r="E114" t="s">
        <v>2350</v>
      </c>
      <c r="F114" t="s">
        <v>2322</v>
      </c>
      <c r="G114" s="2">
        <v>45662</v>
      </c>
      <c r="H114" s="5">
        <v>100000</v>
      </c>
      <c r="I114" t="s">
        <v>2305</v>
      </c>
      <c r="J114" t="s">
        <v>2294</v>
      </c>
    </row>
    <row r="115" spans="1:10" x14ac:dyDescent="0.45">
      <c r="A115" t="s">
        <v>129</v>
      </c>
      <c r="B115" t="s">
        <v>2421</v>
      </c>
      <c r="C115" t="s">
        <v>2302</v>
      </c>
      <c r="D115" t="s">
        <v>2307</v>
      </c>
      <c r="E115" t="s">
        <v>2308</v>
      </c>
      <c r="F115" t="s">
        <v>2309</v>
      </c>
      <c r="G115" s="2">
        <v>45903</v>
      </c>
      <c r="H115" s="5">
        <v>50000</v>
      </c>
      <c r="I115" t="s">
        <v>2293</v>
      </c>
      <c r="J115" t="s">
        <v>2294</v>
      </c>
    </row>
    <row r="116" spans="1:10" x14ac:dyDescent="0.45">
      <c r="A116" t="s">
        <v>42</v>
      </c>
      <c r="B116" t="s">
        <v>2438</v>
      </c>
      <c r="C116" t="s">
        <v>2289</v>
      </c>
      <c r="D116" t="s">
        <v>2313</v>
      </c>
      <c r="E116" t="s">
        <v>2314</v>
      </c>
      <c r="F116" t="s">
        <v>2298</v>
      </c>
      <c r="G116" s="2">
        <v>45472</v>
      </c>
      <c r="H116" s="5">
        <v>100000</v>
      </c>
      <c r="I116" t="s">
        <v>2293</v>
      </c>
      <c r="J116" t="s">
        <v>2294</v>
      </c>
    </row>
    <row r="117" spans="1:10" x14ac:dyDescent="0.45">
      <c r="A117" t="s">
        <v>1980</v>
      </c>
      <c r="B117" t="s">
        <v>2439</v>
      </c>
      <c r="C117" t="s">
        <v>2289</v>
      </c>
      <c r="D117" t="s">
        <v>2376</v>
      </c>
      <c r="E117" t="s">
        <v>2377</v>
      </c>
      <c r="F117" t="s">
        <v>2298</v>
      </c>
      <c r="G117" s="2">
        <v>45127</v>
      </c>
      <c r="H117" s="5">
        <v>100000</v>
      </c>
      <c r="I117" t="s">
        <v>2299</v>
      </c>
      <c r="J117" t="s">
        <v>2325</v>
      </c>
    </row>
    <row r="118" spans="1:10" x14ac:dyDescent="0.45">
      <c r="A118" t="s">
        <v>1343</v>
      </c>
      <c r="B118" t="s">
        <v>2440</v>
      </c>
      <c r="C118" t="s">
        <v>2340</v>
      </c>
      <c r="D118" t="s">
        <v>2355</v>
      </c>
      <c r="E118" t="s">
        <v>2356</v>
      </c>
      <c r="F118" t="s">
        <v>2322</v>
      </c>
      <c r="G118" s="2">
        <v>45784</v>
      </c>
      <c r="H118" s="5">
        <v>50000</v>
      </c>
      <c r="I118" t="s">
        <v>2310</v>
      </c>
      <c r="J118" t="s">
        <v>2294</v>
      </c>
    </row>
    <row r="119" spans="1:10" x14ac:dyDescent="0.45">
      <c r="A119" t="s">
        <v>1588</v>
      </c>
      <c r="B119" t="s">
        <v>2441</v>
      </c>
      <c r="C119" t="s">
        <v>2289</v>
      </c>
      <c r="D119" t="s">
        <v>2383</v>
      </c>
      <c r="E119" t="s">
        <v>2304</v>
      </c>
      <c r="F119" t="s">
        <v>2292</v>
      </c>
      <c r="G119" s="2">
        <v>45697</v>
      </c>
      <c r="H119" s="5">
        <v>100000</v>
      </c>
      <c r="I119" t="s">
        <v>2305</v>
      </c>
      <c r="J119" t="s">
        <v>2294</v>
      </c>
    </row>
    <row r="120" spans="1:10" x14ac:dyDescent="0.45">
      <c r="A120" t="s">
        <v>436</v>
      </c>
      <c r="B120" t="s">
        <v>2442</v>
      </c>
      <c r="C120" t="s">
        <v>2302</v>
      </c>
      <c r="D120" t="s">
        <v>2330</v>
      </c>
      <c r="E120" t="s">
        <v>2291</v>
      </c>
      <c r="F120" t="s">
        <v>2292</v>
      </c>
      <c r="G120" s="2">
        <v>45782</v>
      </c>
      <c r="H120" s="5">
        <v>50000</v>
      </c>
      <c r="I120" t="s">
        <v>2310</v>
      </c>
      <c r="J120" t="s">
        <v>2325</v>
      </c>
    </row>
    <row r="121" spans="1:10" x14ac:dyDescent="0.45">
      <c r="A121" t="s">
        <v>240</v>
      </c>
      <c r="B121" t="s">
        <v>2443</v>
      </c>
      <c r="C121" t="s">
        <v>2302</v>
      </c>
      <c r="D121" t="s">
        <v>2383</v>
      </c>
      <c r="E121" t="s">
        <v>2304</v>
      </c>
      <c r="F121" t="s">
        <v>2292</v>
      </c>
      <c r="G121" s="2">
        <v>44787</v>
      </c>
      <c r="H121" s="5">
        <v>750000</v>
      </c>
      <c r="I121" t="s">
        <v>2293</v>
      </c>
      <c r="J121" t="s">
        <v>2294</v>
      </c>
    </row>
    <row r="122" spans="1:10" x14ac:dyDescent="0.45">
      <c r="A122" t="s">
        <v>870</v>
      </c>
      <c r="B122" t="s">
        <v>2444</v>
      </c>
      <c r="C122" t="s">
        <v>2340</v>
      </c>
      <c r="D122" t="s">
        <v>2376</v>
      </c>
      <c r="E122" t="s">
        <v>2377</v>
      </c>
      <c r="F122" t="s">
        <v>2298</v>
      </c>
      <c r="G122" s="2">
        <v>44594</v>
      </c>
      <c r="H122" s="5">
        <v>100000</v>
      </c>
      <c r="I122" t="s">
        <v>2310</v>
      </c>
      <c r="J122" t="s">
        <v>2294</v>
      </c>
    </row>
    <row r="123" spans="1:10" x14ac:dyDescent="0.45">
      <c r="A123" t="s">
        <v>488</v>
      </c>
      <c r="B123" t="s">
        <v>2445</v>
      </c>
      <c r="C123" t="s">
        <v>2302</v>
      </c>
      <c r="D123" t="s">
        <v>2320</v>
      </c>
      <c r="E123" t="s">
        <v>2321</v>
      </c>
      <c r="F123" t="s">
        <v>2322</v>
      </c>
      <c r="G123" s="2">
        <v>45537</v>
      </c>
      <c r="H123" s="5">
        <v>250000</v>
      </c>
      <c r="I123" t="s">
        <v>2293</v>
      </c>
      <c r="J123" t="s">
        <v>2294</v>
      </c>
    </row>
    <row r="124" spans="1:10" x14ac:dyDescent="0.45">
      <c r="A124" t="s">
        <v>630</v>
      </c>
      <c r="B124" t="s">
        <v>2446</v>
      </c>
      <c r="C124" t="s">
        <v>2289</v>
      </c>
      <c r="D124" t="s">
        <v>2341</v>
      </c>
      <c r="E124" t="s">
        <v>2341</v>
      </c>
      <c r="F124" t="s">
        <v>2318</v>
      </c>
      <c r="G124" s="2">
        <v>45821</v>
      </c>
      <c r="H124" s="5">
        <v>50000</v>
      </c>
      <c r="I124" t="s">
        <v>2293</v>
      </c>
      <c r="J124" t="s">
        <v>2294</v>
      </c>
    </row>
    <row r="125" spans="1:10" x14ac:dyDescent="0.45">
      <c r="A125" t="s">
        <v>628</v>
      </c>
      <c r="B125" t="s">
        <v>2429</v>
      </c>
      <c r="C125" t="s">
        <v>2340</v>
      </c>
      <c r="D125" t="s">
        <v>2432</v>
      </c>
      <c r="E125" t="s">
        <v>2308</v>
      </c>
      <c r="F125" t="s">
        <v>2309</v>
      </c>
      <c r="G125" s="2">
        <v>44625</v>
      </c>
      <c r="H125" s="5">
        <v>50000</v>
      </c>
      <c r="I125" t="s">
        <v>2299</v>
      </c>
      <c r="J125" t="s">
        <v>2294</v>
      </c>
    </row>
    <row r="126" spans="1:10" x14ac:dyDescent="0.45">
      <c r="A126" t="s">
        <v>518</v>
      </c>
      <c r="B126" t="s">
        <v>2447</v>
      </c>
      <c r="C126" t="s">
        <v>2340</v>
      </c>
      <c r="D126" t="s">
        <v>2320</v>
      </c>
      <c r="E126" t="s">
        <v>2321</v>
      </c>
      <c r="F126" t="s">
        <v>2322</v>
      </c>
      <c r="G126" s="2">
        <v>45470</v>
      </c>
      <c r="H126" s="5">
        <v>50000</v>
      </c>
      <c r="I126" t="s">
        <v>2293</v>
      </c>
      <c r="J126" t="s">
        <v>2294</v>
      </c>
    </row>
    <row r="127" spans="1:10" x14ac:dyDescent="0.45">
      <c r="A127" t="s">
        <v>2448</v>
      </c>
      <c r="B127" t="s">
        <v>2359</v>
      </c>
      <c r="C127" t="s">
        <v>2289</v>
      </c>
      <c r="D127" t="s">
        <v>2383</v>
      </c>
      <c r="E127" t="s">
        <v>2304</v>
      </c>
      <c r="F127" t="s">
        <v>2292</v>
      </c>
      <c r="G127" s="2">
        <v>45858</v>
      </c>
      <c r="H127" s="5">
        <v>500000</v>
      </c>
      <c r="I127" t="s">
        <v>2305</v>
      </c>
      <c r="J127" t="s">
        <v>2294</v>
      </c>
    </row>
    <row r="128" spans="1:10" x14ac:dyDescent="0.45">
      <c r="A128" t="s">
        <v>1131</v>
      </c>
      <c r="B128" t="s">
        <v>2449</v>
      </c>
      <c r="C128" t="s">
        <v>2340</v>
      </c>
      <c r="D128" t="s">
        <v>2366</v>
      </c>
      <c r="E128" t="s">
        <v>2367</v>
      </c>
      <c r="F128" t="s">
        <v>2309</v>
      </c>
      <c r="G128" s="2">
        <v>45801</v>
      </c>
      <c r="H128" s="5">
        <v>250000</v>
      </c>
      <c r="I128" t="s">
        <v>2310</v>
      </c>
      <c r="J128" t="s">
        <v>2294</v>
      </c>
    </row>
    <row r="129" spans="1:10" x14ac:dyDescent="0.45">
      <c r="A129" t="s">
        <v>1348</v>
      </c>
      <c r="B129" t="s">
        <v>2450</v>
      </c>
      <c r="C129" t="s">
        <v>2289</v>
      </c>
      <c r="D129" t="s">
        <v>2307</v>
      </c>
      <c r="E129" t="s">
        <v>2308</v>
      </c>
      <c r="F129" t="s">
        <v>2309</v>
      </c>
      <c r="G129" s="2">
        <v>45029</v>
      </c>
      <c r="H129" s="5">
        <v>250000</v>
      </c>
      <c r="I129" t="s">
        <v>2310</v>
      </c>
      <c r="J129" t="s">
        <v>2294</v>
      </c>
    </row>
    <row r="130" spans="1:10" x14ac:dyDescent="0.45">
      <c r="A130" t="s">
        <v>997</v>
      </c>
      <c r="B130" t="s">
        <v>2451</v>
      </c>
      <c r="C130" t="s">
        <v>2289</v>
      </c>
      <c r="D130" t="s">
        <v>2320</v>
      </c>
      <c r="E130" t="s">
        <v>2321</v>
      </c>
      <c r="F130" t="s">
        <v>2322</v>
      </c>
      <c r="G130" s="2">
        <v>45202</v>
      </c>
      <c r="H130" s="5">
        <v>750000</v>
      </c>
      <c r="I130" t="s">
        <v>2310</v>
      </c>
      <c r="J130" t="s">
        <v>2325</v>
      </c>
    </row>
    <row r="131" spans="1:10" x14ac:dyDescent="0.45">
      <c r="A131" t="s">
        <v>172</v>
      </c>
      <c r="B131" t="s">
        <v>2452</v>
      </c>
      <c r="C131" t="s">
        <v>2302</v>
      </c>
      <c r="D131" t="s">
        <v>2349</v>
      </c>
      <c r="E131" t="s">
        <v>2350</v>
      </c>
      <c r="F131" t="s">
        <v>2322</v>
      </c>
      <c r="G131" s="2">
        <v>44752</v>
      </c>
      <c r="H131" s="5">
        <v>250000</v>
      </c>
      <c r="I131" t="s">
        <v>2310</v>
      </c>
      <c r="J131" t="s">
        <v>2294</v>
      </c>
    </row>
    <row r="132" spans="1:10" x14ac:dyDescent="0.45">
      <c r="A132" t="s">
        <v>1091</v>
      </c>
      <c r="B132" t="s">
        <v>2453</v>
      </c>
      <c r="C132" t="s">
        <v>2340</v>
      </c>
      <c r="D132" t="s">
        <v>2383</v>
      </c>
      <c r="E132" t="s">
        <v>2304</v>
      </c>
      <c r="F132" t="s">
        <v>2292</v>
      </c>
      <c r="G132" s="2">
        <v>45712</v>
      </c>
      <c r="H132" s="5">
        <v>500000</v>
      </c>
      <c r="I132" t="s">
        <v>2310</v>
      </c>
      <c r="J132" t="s">
        <v>2294</v>
      </c>
    </row>
    <row r="133" spans="1:10" x14ac:dyDescent="0.45">
      <c r="A133" t="s">
        <v>271</v>
      </c>
      <c r="B133" t="s">
        <v>2454</v>
      </c>
      <c r="C133" t="s">
        <v>2302</v>
      </c>
      <c r="D133" t="s">
        <v>2376</v>
      </c>
      <c r="E133" t="s">
        <v>2377</v>
      </c>
      <c r="F133" t="s">
        <v>2298</v>
      </c>
      <c r="G133" s="2">
        <v>44667</v>
      </c>
      <c r="H133" s="5">
        <v>150000</v>
      </c>
      <c r="I133" t="s">
        <v>2305</v>
      </c>
      <c r="J133" t="s">
        <v>2294</v>
      </c>
    </row>
    <row r="134" spans="1:10" x14ac:dyDescent="0.45">
      <c r="A134" t="s">
        <v>276</v>
      </c>
      <c r="B134" t="s">
        <v>2455</v>
      </c>
      <c r="C134" t="s">
        <v>2289</v>
      </c>
      <c r="D134" t="s">
        <v>2324</v>
      </c>
      <c r="E134" t="s">
        <v>2304</v>
      </c>
      <c r="F134" t="s">
        <v>2309</v>
      </c>
      <c r="G134" s="2">
        <v>45549</v>
      </c>
      <c r="H134" s="5">
        <v>100000</v>
      </c>
      <c r="I134" t="s">
        <v>2293</v>
      </c>
      <c r="J134" t="s">
        <v>2294</v>
      </c>
    </row>
    <row r="135" spans="1:10" x14ac:dyDescent="0.45">
      <c r="A135" t="s">
        <v>1412</v>
      </c>
      <c r="B135" t="s">
        <v>2456</v>
      </c>
      <c r="C135" t="s">
        <v>2302</v>
      </c>
      <c r="D135" t="s">
        <v>2307</v>
      </c>
      <c r="E135" t="s">
        <v>2308</v>
      </c>
      <c r="F135" t="s">
        <v>2309</v>
      </c>
      <c r="G135" s="2">
        <v>45737</v>
      </c>
      <c r="H135" s="5">
        <v>100000</v>
      </c>
      <c r="I135" t="s">
        <v>2293</v>
      </c>
      <c r="J135" t="s">
        <v>2294</v>
      </c>
    </row>
    <row r="136" spans="1:10" x14ac:dyDescent="0.45">
      <c r="A136" t="s">
        <v>790</v>
      </c>
      <c r="B136" t="s">
        <v>2435</v>
      </c>
      <c r="C136" t="s">
        <v>2289</v>
      </c>
      <c r="D136" t="s">
        <v>2366</v>
      </c>
      <c r="E136" t="s">
        <v>2367</v>
      </c>
      <c r="F136" t="s">
        <v>2309</v>
      </c>
      <c r="G136" s="2">
        <v>45909</v>
      </c>
      <c r="H136" s="5">
        <v>750000</v>
      </c>
      <c r="I136" t="s">
        <v>2310</v>
      </c>
      <c r="J136" t="s">
        <v>2294</v>
      </c>
    </row>
    <row r="137" spans="1:10" x14ac:dyDescent="0.45">
      <c r="A137" t="s">
        <v>1168</v>
      </c>
      <c r="B137" t="s">
        <v>2457</v>
      </c>
      <c r="C137" t="s">
        <v>2289</v>
      </c>
      <c r="D137" t="s">
        <v>2363</v>
      </c>
      <c r="E137" t="s">
        <v>2364</v>
      </c>
      <c r="F137" t="s">
        <v>2298</v>
      </c>
      <c r="G137" s="2">
        <v>44933</v>
      </c>
      <c r="H137" s="5">
        <v>100000</v>
      </c>
      <c r="I137" t="s">
        <v>2305</v>
      </c>
      <c r="J137" t="s">
        <v>2294</v>
      </c>
    </row>
    <row r="138" spans="1:10" x14ac:dyDescent="0.45">
      <c r="A138" t="s">
        <v>1729</v>
      </c>
      <c r="B138" t="s">
        <v>2458</v>
      </c>
      <c r="C138" t="s">
        <v>2289</v>
      </c>
      <c r="D138" t="s">
        <v>2383</v>
      </c>
      <c r="E138" t="s">
        <v>2304</v>
      </c>
      <c r="F138" t="s">
        <v>2292</v>
      </c>
      <c r="G138" s="2">
        <v>45648</v>
      </c>
      <c r="H138" s="5">
        <v>100000</v>
      </c>
      <c r="I138" t="s">
        <v>2305</v>
      </c>
      <c r="J138" t="s">
        <v>2294</v>
      </c>
    </row>
    <row r="139" spans="1:10" x14ac:dyDescent="0.45">
      <c r="A139" t="s">
        <v>1144</v>
      </c>
      <c r="B139" t="s">
        <v>2459</v>
      </c>
      <c r="C139" t="s">
        <v>2302</v>
      </c>
      <c r="D139" t="s">
        <v>2303</v>
      </c>
      <c r="E139" t="s">
        <v>2304</v>
      </c>
      <c r="F139" t="s">
        <v>2292</v>
      </c>
      <c r="G139" s="2">
        <v>45724</v>
      </c>
      <c r="H139" s="5">
        <v>500000</v>
      </c>
      <c r="I139" t="s">
        <v>2310</v>
      </c>
      <c r="J139" t="s">
        <v>2294</v>
      </c>
    </row>
    <row r="140" spans="1:10" x14ac:dyDescent="0.45">
      <c r="A140" t="s">
        <v>618</v>
      </c>
      <c r="B140" t="s">
        <v>2371</v>
      </c>
      <c r="C140" t="s">
        <v>2340</v>
      </c>
      <c r="D140" t="s">
        <v>2303</v>
      </c>
      <c r="E140" t="s">
        <v>2304</v>
      </c>
      <c r="F140" t="s">
        <v>2292</v>
      </c>
      <c r="G140" s="2">
        <v>45119</v>
      </c>
      <c r="H140" s="5">
        <v>250000</v>
      </c>
      <c r="I140" t="s">
        <v>2293</v>
      </c>
      <c r="J140" t="s">
        <v>2294</v>
      </c>
    </row>
    <row r="141" spans="1:10" x14ac:dyDescent="0.45">
      <c r="A141" t="s">
        <v>746</v>
      </c>
      <c r="B141" t="s">
        <v>2460</v>
      </c>
      <c r="C141" t="s">
        <v>2289</v>
      </c>
      <c r="D141" t="s">
        <v>2355</v>
      </c>
      <c r="E141" t="s">
        <v>2356</v>
      </c>
      <c r="F141" t="s">
        <v>2322</v>
      </c>
      <c r="G141" s="2">
        <v>45611</v>
      </c>
      <c r="H141" s="5">
        <v>50000</v>
      </c>
      <c r="I141" t="s">
        <v>2310</v>
      </c>
      <c r="J141" t="s">
        <v>2294</v>
      </c>
    </row>
    <row r="142" spans="1:10" x14ac:dyDescent="0.45">
      <c r="A142" t="s">
        <v>469</v>
      </c>
      <c r="B142" t="s">
        <v>2406</v>
      </c>
      <c r="C142" t="s">
        <v>2340</v>
      </c>
      <c r="D142" t="s">
        <v>2324</v>
      </c>
      <c r="E142" t="s">
        <v>2304</v>
      </c>
      <c r="F142" t="s">
        <v>2309</v>
      </c>
      <c r="G142" s="2">
        <v>44655</v>
      </c>
      <c r="H142" s="5">
        <v>100000</v>
      </c>
      <c r="I142" t="s">
        <v>2305</v>
      </c>
      <c r="J142" t="s">
        <v>2294</v>
      </c>
    </row>
    <row r="143" spans="1:10" x14ac:dyDescent="0.45">
      <c r="A143" t="s">
        <v>645</v>
      </c>
      <c r="B143" t="s">
        <v>2461</v>
      </c>
      <c r="C143" t="s">
        <v>2302</v>
      </c>
      <c r="D143" t="s">
        <v>2386</v>
      </c>
      <c r="E143" t="s">
        <v>2386</v>
      </c>
      <c r="F143" t="s">
        <v>2318</v>
      </c>
      <c r="G143" s="2">
        <v>44843</v>
      </c>
      <c r="H143" s="5">
        <v>150000</v>
      </c>
      <c r="I143" t="s">
        <v>2310</v>
      </c>
      <c r="J143" t="s">
        <v>2294</v>
      </c>
    </row>
    <row r="144" spans="1:10" x14ac:dyDescent="0.45">
      <c r="A144" t="s">
        <v>1253</v>
      </c>
      <c r="B144" t="s">
        <v>2430</v>
      </c>
      <c r="C144" t="s">
        <v>2289</v>
      </c>
      <c r="D144" t="s">
        <v>2349</v>
      </c>
      <c r="E144" t="s">
        <v>2350</v>
      </c>
      <c r="F144" t="s">
        <v>2322</v>
      </c>
      <c r="G144" s="2">
        <v>45340</v>
      </c>
      <c r="H144" s="5">
        <v>500000</v>
      </c>
      <c r="I144" t="s">
        <v>2293</v>
      </c>
      <c r="J144" t="s">
        <v>2294</v>
      </c>
    </row>
    <row r="145" spans="1:10" x14ac:dyDescent="0.45">
      <c r="A145" t="s">
        <v>1151</v>
      </c>
      <c r="B145" t="s">
        <v>2422</v>
      </c>
      <c r="C145" t="s">
        <v>2302</v>
      </c>
      <c r="D145" t="s">
        <v>2376</v>
      </c>
      <c r="E145" t="s">
        <v>2377</v>
      </c>
      <c r="F145" t="s">
        <v>2298</v>
      </c>
      <c r="G145" s="2">
        <v>44648</v>
      </c>
      <c r="H145" s="5">
        <v>250000</v>
      </c>
      <c r="I145" t="s">
        <v>2310</v>
      </c>
      <c r="J145" t="s">
        <v>2325</v>
      </c>
    </row>
    <row r="146" spans="1:10" x14ac:dyDescent="0.45">
      <c r="A146" t="s">
        <v>815</v>
      </c>
      <c r="B146" t="s">
        <v>2462</v>
      </c>
      <c r="C146" t="s">
        <v>2340</v>
      </c>
      <c r="D146" t="s">
        <v>2296</v>
      </c>
      <c r="E146" t="s">
        <v>2297</v>
      </c>
      <c r="F146" t="s">
        <v>2298</v>
      </c>
      <c r="G146" s="2">
        <v>46015</v>
      </c>
      <c r="H146" s="5">
        <v>750000</v>
      </c>
      <c r="I146" t="s">
        <v>2305</v>
      </c>
      <c r="J146" t="s">
        <v>2294</v>
      </c>
    </row>
    <row r="147" spans="1:10" x14ac:dyDescent="0.45">
      <c r="A147" t="s">
        <v>653</v>
      </c>
      <c r="B147" t="s">
        <v>2463</v>
      </c>
      <c r="C147" t="s">
        <v>2302</v>
      </c>
      <c r="D147" t="s">
        <v>2386</v>
      </c>
      <c r="E147" t="s">
        <v>2386</v>
      </c>
      <c r="F147" t="s">
        <v>2318</v>
      </c>
      <c r="G147" s="2">
        <v>45827</v>
      </c>
      <c r="H147" s="5">
        <v>250000</v>
      </c>
      <c r="I147" t="s">
        <v>2293</v>
      </c>
      <c r="J147" t="s">
        <v>2294</v>
      </c>
    </row>
    <row r="148" spans="1:10" x14ac:dyDescent="0.45">
      <c r="A148" t="s">
        <v>1163</v>
      </c>
      <c r="B148" t="s">
        <v>2401</v>
      </c>
      <c r="C148" t="s">
        <v>2289</v>
      </c>
      <c r="D148" t="s">
        <v>2372</v>
      </c>
      <c r="E148" t="s">
        <v>2373</v>
      </c>
      <c r="F148" t="s">
        <v>2318</v>
      </c>
      <c r="G148" s="2">
        <v>45768</v>
      </c>
      <c r="H148" s="5">
        <v>250000</v>
      </c>
      <c r="I148" t="s">
        <v>2305</v>
      </c>
      <c r="J148" t="s">
        <v>2294</v>
      </c>
    </row>
    <row r="149" spans="1:10" x14ac:dyDescent="0.45">
      <c r="A149" t="s">
        <v>1282</v>
      </c>
      <c r="B149" t="s">
        <v>2464</v>
      </c>
      <c r="C149" t="s">
        <v>2289</v>
      </c>
      <c r="D149" t="s">
        <v>2363</v>
      </c>
      <c r="E149" t="s">
        <v>2364</v>
      </c>
      <c r="F149" t="s">
        <v>2298</v>
      </c>
      <c r="G149" s="2">
        <v>44906</v>
      </c>
      <c r="H149" s="5">
        <v>50000</v>
      </c>
      <c r="I149" t="s">
        <v>2305</v>
      </c>
      <c r="J149" t="s">
        <v>2294</v>
      </c>
    </row>
    <row r="150" spans="1:10" x14ac:dyDescent="0.45">
      <c r="A150" t="s">
        <v>659</v>
      </c>
      <c r="B150" t="s">
        <v>2465</v>
      </c>
      <c r="C150" t="s">
        <v>2289</v>
      </c>
      <c r="D150" t="s">
        <v>2432</v>
      </c>
      <c r="E150" t="s">
        <v>2308</v>
      </c>
      <c r="F150" t="s">
        <v>2309</v>
      </c>
      <c r="G150" s="2">
        <v>45883</v>
      </c>
      <c r="H150" s="5">
        <v>100000</v>
      </c>
      <c r="I150" t="s">
        <v>2310</v>
      </c>
      <c r="J150" t="s">
        <v>2294</v>
      </c>
    </row>
    <row r="151" spans="1:10" x14ac:dyDescent="0.45">
      <c r="A151" t="s">
        <v>311</v>
      </c>
      <c r="B151" t="s">
        <v>2466</v>
      </c>
      <c r="C151" t="s">
        <v>2302</v>
      </c>
      <c r="D151" t="s">
        <v>2290</v>
      </c>
      <c r="E151" t="s">
        <v>2291</v>
      </c>
      <c r="F151" t="s">
        <v>2292</v>
      </c>
      <c r="G151" s="2">
        <v>45904</v>
      </c>
      <c r="H151" s="5">
        <v>50000</v>
      </c>
      <c r="I151" t="s">
        <v>2310</v>
      </c>
      <c r="J151" t="s">
        <v>2294</v>
      </c>
    </row>
    <row r="152" spans="1:10" x14ac:dyDescent="0.45">
      <c r="A152" t="s">
        <v>1379</v>
      </c>
      <c r="B152" t="s">
        <v>2467</v>
      </c>
      <c r="C152" t="s">
        <v>2340</v>
      </c>
      <c r="D152" t="s">
        <v>2349</v>
      </c>
      <c r="E152" t="s">
        <v>2350</v>
      </c>
      <c r="F152" t="s">
        <v>2322</v>
      </c>
      <c r="G152" s="2">
        <v>45718</v>
      </c>
      <c r="H152" s="5">
        <v>750000</v>
      </c>
      <c r="I152" t="s">
        <v>2305</v>
      </c>
      <c r="J152" t="s">
        <v>2294</v>
      </c>
    </row>
    <row r="153" spans="1:10" x14ac:dyDescent="0.45">
      <c r="A153" t="s">
        <v>635</v>
      </c>
      <c r="B153" t="s">
        <v>2468</v>
      </c>
      <c r="C153" t="s">
        <v>2289</v>
      </c>
      <c r="D153" t="s">
        <v>2296</v>
      </c>
      <c r="E153" t="s">
        <v>2297</v>
      </c>
      <c r="F153" t="s">
        <v>2298</v>
      </c>
      <c r="G153" s="2">
        <v>45467</v>
      </c>
      <c r="H153" s="5">
        <v>750000</v>
      </c>
      <c r="I153" t="s">
        <v>2310</v>
      </c>
      <c r="J153" t="s">
        <v>2294</v>
      </c>
    </row>
    <row r="154" spans="1:10" x14ac:dyDescent="0.45">
      <c r="A154" t="s">
        <v>757</v>
      </c>
      <c r="B154" t="s">
        <v>2469</v>
      </c>
      <c r="C154" t="s">
        <v>2289</v>
      </c>
      <c r="D154" t="s">
        <v>2316</v>
      </c>
      <c r="E154" t="s">
        <v>2317</v>
      </c>
      <c r="F154" t="s">
        <v>2318</v>
      </c>
      <c r="G154" s="2">
        <v>45507</v>
      </c>
      <c r="H154" s="5">
        <v>250000</v>
      </c>
      <c r="I154" t="s">
        <v>2310</v>
      </c>
      <c r="J154" t="s">
        <v>2294</v>
      </c>
    </row>
    <row r="155" spans="1:10" x14ac:dyDescent="0.45">
      <c r="A155" t="s">
        <v>679</v>
      </c>
      <c r="B155" t="s">
        <v>2452</v>
      </c>
      <c r="C155" t="s">
        <v>2340</v>
      </c>
      <c r="D155" t="s">
        <v>2363</v>
      </c>
      <c r="E155" t="s">
        <v>2364</v>
      </c>
      <c r="F155" t="s">
        <v>2298</v>
      </c>
      <c r="G155" s="2">
        <v>45600</v>
      </c>
      <c r="H155" s="5">
        <v>250000</v>
      </c>
      <c r="I155" t="s">
        <v>2305</v>
      </c>
      <c r="J155" t="s">
        <v>2294</v>
      </c>
    </row>
    <row r="156" spans="1:10" x14ac:dyDescent="0.45">
      <c r="A156" t="s">
        <v>677</v>
      </c>
      <c r="B156" t="s">
        <v>2470</v>
      </c>
      <c r="C156" t="s">
        <v>2289</v>
      </c>
      <c r="D156" t="s">
        <v>2316</v>
      </c>
      <c r="E156" t="s">
        <v>2317</v>
      </c>
      <c r="F156" t="s">
        <v>2318</v>
      </c>
      <c r="G156" s="2">
        <v>45536</v>
      </c>
      <c r="H156" s="5">
        <v>500000</v>
      </c>
      <c r="I156" t="s">
        <v>2310</v>
      </c>
      <c r="J156" t="s">
        <v>2294</v>
      </c>
    </row>
    <row r="157" spans="1:10" x14ac:dyDescent="0.45">
      <c r="A157" t="s">
        <v>980</v>
      </c>
      <c r="B157" t="s">
        <v>2471</v>
      </c>
      <c r="C157" t="s">
        <v>2302</v>
      </c>
      <c r="D157" t="s">
        <v>2341</v>
      </c>
      <c r="E157" t="s">
        <v>2341</v>
      </c>
      <c r="F157" t="s">
        <v>2318</v>
      </c>
      <c r="G157" s="2">
        <v>44734</v>
      </c>
      <c r="H157" s="5">
        <v>500000</v>
      </c>
      <c r="I157" t="s">
        <v>2305</v>
      </c>
      <c r="J157" t="s">
        <v>2294</v>
      </c>
    </row>
    <row r="158" spans="1:10" x14ac:dyDescent="0.45">
      <c r="A158" t="s">
        <v>651</v>
      </c>
      <c r="B158" t="s">
        <v>2446</v>
      </c>
      <c r="C158" t="s">
        <v>2340</v>
      </c>
      <c r="D158" t="s">
        <v>2355</v>
      </c>
      <c r="E158" t="s">
        <v>2356</v>
      </c>
      <c r="F158" t="s">
        <v>2322</v>
      </c>
      <c r="G158" s="2">
        <v>44887</v>
      </c>
      <c r="H158" s="5">
        <v>150000</v>
      </c>
      <c r="I158" t="s">
        <v>2305</v>
      </c>
      <c r="J158" t="s">
        <v>2294</v>
      </c>
    </row>
    <row r="159" spans="1:10" x14ac:dyDescent="0.45">
      <c r="A159" t="s">
        <v>251</v>
      </c>
      <c r="B159" t="s">
        <v>2472</v>
      </c>
      <c r="C159" t="s">
        <v>2340</v>
      </c>
      <c r="D159" t="s">
        <v>2320</v>
      </c>
      <c r="E159" t="s">
        <v>2321</v>
      </c>
      <c r="F159" t="s">
        <v>2322</v>
      </c>
      <c r="G159" s="2">
        <v>44669</v>
      </c>
      <c r="H159" s="5">
        <v>750000</v>
      </c>
      <c r="I159" t="s">
        <v>2305</v>
      </c>
      <c r="J159" t="s">
        <v>2294</v>
      </c>
    </row>
    <row r="160" spans="1:10" x14ac:dyDescent="0.45">
      <c r="A160" t="s">
        <v>459</v>
      </c>
      <c r="B160" t="s">
        <v>2473</v>
      </c>
      <c r="C160" t="s">
        <v>2289</v>
      </c>
      <c r="D160" t="s">
        <v>2341</v>
      </c>
      <c r="E160" t="s">
        <v>2341</v>
      </c>
      <c r="F160" t="s">
        <v>2318</v>
      </c>
      <c r="G160" s="2">
        <v>45906</v>
      </c>
      <c r="H160" s="5">
        <v>500000</v>
      </c>
      <c r="I160" t="s">
        <v>2293</v>
      </c>
      <c r="J160" t="s">
        <v>2294</v>
      </c>
    </row>
    <row r="161" spans="1:10" x14ac:dyDescent="0.45">
      <c r="A161" t="s">
        <v>427</v>
      </c>
      <c r="B161" t="s">
        <v>2474</v>
      </c>
      <c r="C161" t="s">
        <v>2302</v>
      </c>
      <c r="D161" t="s">
        <v>2324</v>
      </c>
      <c r="E161" t="s">
        <v>2304</v>
      </c>
      <c r="F161" t="s">
        <v>2309</v>
      </c>
      <c r="G161" s="2">
        <v>45197</v>
      </c>
      <c r="H161" s="5">
        <v>750000</v>
      </c>
      <c r="I161" t="s">
        <v>2293</v>
      </c>
      <c r="J161" t="s">
        <v>2294</v>
      </c>
    </row>
    <row r="162" spans="1:10" x14ac:dyDescent="0.45">
      <c r="A162" t="s">
        <v>1431</v>
      </c>
      <c r="B162" t="s">
        <v>2475</v>
      </c>
      <c r="C162" t="s">
        <v>2289</v>
      </c>
      <c r="D162" t="s">
        <v>2366</v>
      </c>
      <c r="E162" t="s">
        <v>2367</v>
      </c>
      <c r="F162" t="s">
        <v>2309</v>
      </c>
      <c r="G162" s="2">
        <v>45333</v>
      </c>
      <c r="H162" s="5">
        <v>750000</v>
      </c>
      <c r="I162" t="s">
        <v>2293</v>
      </c>
      <c r="J162" t="s">
        <v>2294</v>
      </c>
    </row>
    <row r="163" spans="1:10" x14ac:dyDescent="0.45">
      <c r="A163" t="s">
        <v>382</v>
      </c>
      <c r="B163" t="s">
        <v>2476</v>
      </c>
      <c r="C163" t="s">
        <v>2340</v>
      </c>
      <c r="D163" t="s">
        <v>2432</v>
      </c>
      <c r="E163" t="s">
        <v>2308</v>
      </c>
      <c r="F163" t="s">
        <v>2309</v>
      </c>
      <c r="G163" s="2">
        <v>44599</v>
      </c>
      <c r="H163" s="5">
        <v>150000</v>
      </c>
      <c r="I163" t="s">
        <v>2310</v>
      </c>
      <c r="J163" t="s">
        <v>2325</v>
      </c>
    </row>
    <row r="164" spans="1:10" x14ac:dyDescent="0.45">
      <c r="A164" t="s">
        <v>1697</v>
      </c>
      <c r="B164" t="s">
        <v>2477</v>
      </c>
      <c r="C164" t="s">
        <v>2289</v>
      </c>
      <c r="D164" t="s">
        <v>2296</v>
      </c>
      <c r="E164" t="s">
        <v>2297</v>
      </c>
      <c r="F164" t="s">
        <v>2298</v>
      </c>
      <c r="G164" s="2">
        <v>44843</v>
      </c>
      <c r="H164" s="5">
        <v>100000</v>
      </c>
      <c r="I164" t="s">
        <v>2310</v>
      </c>
      <c r="J164" t="s">
        <v>2294</v>
      </c>
    </row>
    <row r="165" spans="1:10" x14ac:dyDescent="0.45">
      <c r="A165" t="s">
        <v>893</v>
      </c>
      <c r="B165" t="s">
        <v>2478</v>
      </c>
      <c r="C165" t="s">
        <v>2302</v>
      </c>
      <c r="D165" t="s">
        <v>2341</v>
      </c>
      <c r="E165" t="s">
        <v>2341</v>
      </c>
      <c r="F165" t="s">
        <v>2318</v>
      </c>
      <c r="G165" s="2">
        <v>45640</v>
      </c>
      <c r="H165" s="5">
        <v>50000</v>
      </c>
      <c r="I165" t="s">
        <v>2293</v>
      </c>
      <c r="J165" t="s">
        <v>2294</v>
      </c>
    </row>
    <row r="166" spans="1:10" x14ac:dyDescent="0.45">
      <c r="A166" t="s">
        <v>1699</v>
      </c>
      <c r="B166" t="s">
        <v>2479</v>
      </c>
      <c r="C166" t="s">
        <v>2289</v>
      </c>
      <c r="D166" t="s">
        <v>2366</v>
      </c>
      <c r="E166" t="s">
        <v>2367</v>
      </c>
      <c r="F166" t="s">
        <v>2309</v>
      </c>
      <c r="G166" s="2">
        <v>44932</v>
      </c>
      <c r="H166" s="5">
        <v>750000</v>
      </c>
      <c r="I166" t="s">
        <v>2293</v>
      </c>
      <c r="J166" t="s">
        <v>2294</v>
      </c>
    </row>
    <row r="167" spans="1:10" x14ac:dyDescent="0.45">
      <c r="A167" t="s">
        <v>451</v>
      </c>
      <c r="B167" t="s">
        <v>2480</v>
      </c>
      <c r="C167" t="s">
        <v>2289</v>
      </c>
      <c r="D167" t="s">
        <v>2303</v>
      </c>
      <c r="E167" t="s">
        <v>2304</v>
      </c>
      <c r="F167" t="s">
        <v>2292</v>
      </c>
      <c r="G167" s="2">
        <v>45308</v>
      </c>
      <c r="H167" s="5">
        <v>750000</v>
      </c>
      <c r="I167" t="s">
        <v>2293</v>
      </c>
      <c r="J167" t="s">
        <v>2325</v>
      </c>
    </row>
    <row r="168" spans="1:10" x14ac:dyDescent="0.45">
      <c r="A168" t="s">
        <v>1568</v>
      </c>
      <c r="B168" t="s">
        <v>2429</v>
      </c>
      <c r="C168" t="s">
        <v>2289</v>
      </c>
      <c r="D168" t="s">
        <v>2366</v>
      </c>
      <c r="E168" t="s">
        <v>2367</v>
      </c>
      <c r="F168" t="s">
        <v>2309</v>
      </c>
      <c r="G168" s="2">
        <v>45051</v>
      </c>
      <c r="H168" s="5">
        <v>150000</v>
      </c>
      <c r="I168" t="s">
        <v>2299</v>
      </c>
      <c r="J168" t="s">
        <v>2294</v>
      </c>
    </row>
    <row r="169" spans="1:10" x14ac:dyDescent="0.45">
      <c r="A169" t="s">
        <v>725</v>
      </c>
      <c r="B169" t="s">
        <v>2481</v>
      </c>
      <c r="C169" t="s">
        <v>2340</v>
      </c>
      <c r="D169" t="s">
        <v>2290</v>
      </c>
      <c r="E169" t="s">
        <v>2291</v>
      </c>
      <c r="F169" t="s">
        <v>2292</v>
      </c>
      <c r="G169" s="2">
        <v>45139</v>
      </c>
      <c r="H169" s="5">
        <v>250000</v>
      </c>
      <c r="I169" t="s">
        <v>2305</v>
      </c>
      <c r="J169" t="s">
        <v>2294</v>
      </c>
    </row>
    <row r="170" spans="1:10" x14ac:dyDescent="0.45">
      <c r="A170" t="s">
        <v>811</v>
      </c>
      <c r="B170" t="s">
        <v>2482</v>
      </c>
      <c r="C170" t="s">
        <v>2302</v>
      </c>
      <c r="D170" t="s">
        <v>2303</v>
      </c>
      <c r="E170" t="s">
        <v>2304</v>
      </c>
      <c r="F170" t="s">
        <v>2292</v>
      </c>
      <c r="G170" s="2">
        <v>44845</v>
      </c>
      <c r="H170" s="5">
        <v>150000</v>
      </c>
      <c r="I170" t="s">
        <v>2310</v>
      </c>
      <c r="J170" t="s">
        <v>2294</v>
      </c>
    </row>
    <row r="171" spans="1:10" x14ac:dyDescent="0.45">
      <c r="A171" t="s">
        <v>1441</v>
      </c>
      <c r="B171" t="s">
        <v>2483</v>
      </c>
      <c r="C171" t="s">
        <v>2302</v>
      </c>
      <c r="D171" t="s">
        <v>2376</v>
      </c>
      <c r="E171" t="s">
        <v>2377</v>
      </c>
      <c r="F171" t="s">
        <v>2298</v>
      </c>
      <c r="G171" s="2">
        <v>45618</v>
      </c>
      <c r="H171" s="5">
        <v>50000</v>
      </c>
      <c r="I171" t="s">
        <v>2310</v>
      </c>
      <c r="J171" t="s">
        <v>2294</v>
      </c>
    </row>
    <row r="172" spans="1:10" x14ac:dyDescent="0.45">
      <c r="A172" t="s">
        <v>925</v>
      </c>
      <c r="B172" t="s">
        <v>2446</v>
      </c>
      <c r="C172" t="s">
        <v>2289</v>
      </c>
      <c r="D172" t="s">
        <v>2313</v>
      </c>
      <c r="E172" t="s">
        <v>2314</v>
      </c>
      <c r="F172" t="s">
        <v>2298</v>
      </c>
      <c r="G172" s="2">
        <v>45457</v>
      </c>
      <c r="H172" s="5">
        <v>50000</v>
      </c>
      <c r="I172" t="s">
        <v>2299</v>
      </c>
      <c r="J172" t="s">
        <v>2294</v>
      </c>
    </row>
    <row r="173" spans="1:10" x14ac:dyDescent="0.45">
      <c r="A173" t="s">
        <v>305</v>
      </c>
      <c r="B173" t="s">
        <v>2326</v>
      </c>
      <c r="C173" t="s">
        <v>2302</v>
      </c>
      <c r="D173" t="s">
        <v>2355</v>
      </c>
      <c r="E173" t="s">
        <v>2356</v>
      </c>
      <c r="F173" t="s">
        <v>2322</v>
      </c>
      <c r="G173" s="2">
        <v>45411</v>
      </c>
      <c r="H173" s="5">
        <v>50000</v>
      </c>
      <c r="I173" t="s">
        <v>2305</v>
      </c>
      <c r="J173" t="s">
        <v>2294</v>
      </c>
    </row>
    <row r="174" spans="1:10" x14ac:dyDescent="0.45">
      <c r="A174" t="s">
        <v>401</v>
      </c>
      <c r="B174" t="s">
        <v>2484</v>
      </c>
      <c r="C174" t="s">
        <v>2289</v>
      </c>
      <c r="D174" t="s">
        <v>2336</v>
      </c>
      <c r="E174" t="s">
        <v>2337</v>
      </c>
      <c r="F174" t="s">
        <v>2322</v>
      </c>
      <c r="G174" s="2">
        <v>45214</v>
      </c>
      <c r="H174" s="5">
        <v>50000</v>
      </c>
      <c r="I174" t="s">
        <v>2293</v>
      </c>
      <c r="J174" t="s">
        <v>2294</v>
      </c>
    </row>
    <row r="175" spans="1:10" x14ac:dyDescent="0.45">
      <c r="A175" t="s">
        <v>480</v>
      </c>
      <c r="B175" t="s">
        <v>2485</v>
      </c>
      <c r="C175" t="s">
        <v>2289</v>
      </c>
      <c r="D175" t="s">
        <v>2383</v>
      </c>
      <c r="E175" t="s">
        <v>2304</v>
      </c>
      <c r="F175" t="s">
        <v>2292</v>
      </c>
      <c r="G175" s="2">
        <v>45529</v>
      </c>
      <c r="H175" s="5">
        <v>750000</v>
      </c>
      <c r="I175" t="s">
        <v>2293</v>
      </c>
      <c r="J175" t="s">
        <v>2294</v>
      </c>
    </row>
    <row r="176" spans="1:10" x14ac:dyDescent="0.45">
      <c r="A176" t="s">
        <v>940</v>
      </c>
      <c r="B176" t="s">
        <v>2486</v>
      </c>
      <c r="C176" t="s">
        <v>2302</v>
      </c>
      <c r="D176" t="s">
        <v>2349</v>
      </c>
      <c r="E176" t="s">
        <v>2350</v>
      </c>
      <c r="F176" t="s">
        <v>2322</v>
      </c>
      <c r="G176" s="2">
        <v>44600</v>
      </c>
      <c r="H176" s="5">
        <v>150000</v>
      </c>
      <c r="I176" t="s">
        <v>2310</v>
      </c>
      <c r="J176" t="s">
        <v>2294</v>
      </c>
    </row>
    <row r="177" spans="1:10" x14ac:dyDescent="0.45">
      <c r="A177" t="s">
        <v>84</v>
      </c>
      <c r="B177" t="s">
        <v>2487</v>
      </c>
      <c r="C177" t="s">
        <v>2289</v>
      </c>
      <c r="D177" t="s">
        <v>2366</v>
      </c>
      <c r="E177" t="s">
        <v>2367</v>
      </c>
      <c r="F177" t="s">
        <v>2309</v>
      </c>
      <c r="G177" s="2">
        <v>45152</v>
      </c>
      <c r="H177" s="5">
        <v>100000</v>
      </c>
      <c r="I177" t="s">
        <v>2310</v>
      </c>
      <c r="J177" t="s">
        <v>2294</v>
      </c>
    </row>
    <row r="178" spans="1:10" x14ac:dyDescent="0.45">
      <c r="A178" t="s">
        <v>209</v>
      </c>
      <c r="B178" t="s">
        <v>2488</v>
      </c>
      <c r="C178" t="s">
        <v>2289</v>
      </c>
      <c r="D178" t="s">
        <v>2320</v>
      </c>
      <c r="E178" t="s">
        <v>2321</v>
      </c>
      <c r="F178" t="s">
        <v>2322</v>
      </c>
      <c r="G178" s="2">
        <v>45585</v>
      </c>
      <c r="H178" s="5">
        <v>500000</v>
      </c>
      <c r="I178" t="s">
        <v>2305</v>
      </c>
      <c r="J178" t="s">
        <v>2294</v>
      </c>
    </row>
    <row r="179" spans="1:10" x14ac:dyDescent="0.45">
      <c r="A179" t="s">
        <v>970</v>
      </c>
      <c r="B179" t="s">
        <v>2489</v>
      </c>
      <c r="C179" t="s">
        <v>2289</v>
      </c>
      <c r="D179" t="s">
        <v>2324</v>
      </c>
      <c r="E179" t="s">
        <v>2304</v>
      </c>
      <c r="F179" t="s">
        <v>2309</v>
      </c>
      <c r="G179" s="2">
        <v>44565</v>
      </c>
      <c r="H179" s="5">
        <v>500000</v>
      </c>
      <c r="I179" t="s">
        <v>2305</v>
      </c>
      <c r="J179" t="s">
        <v>2294</v>
      </c>
    </row>
    <row r="180" spans="1:10" x14ac:dyDescent="0.45">
      <c r="A180" t="s">
        <v>1216</v>
      </c>
      <c r="B180" t="s">
        <v>2346</v>
      </c>
      <c r="C180" t="s">
        <v>2340</v>
      </c>
      <c r="D180" t="s">
        <v>2303</v>
      </c>
      <c r="E180" t="s">
        <v>2304</v>
      </c>
      <c r="F180" t="s">
        <v>2292</v>
      </c>
      <c r="G180" s="2">
        <v>45300</v>
      </c>
      <c r="H180" s="5">
        <v>50000</v>
      </c>
      <c r="I180" t="s">
        <v>2299</v>
      </c>
      <c r="J180" t="s">
        <v>2294</v>
      </c>
    </row>
    <row r="181" spans="1:10" x14ac:dyDescent="0.45">
      <c r="A181" t="s">
        <v>514</v>
      </c>
      <c r="B181" t="s">
        <v>2319</v>
      </c>
      <c r="C181" t="s">
        <v>2289</v>
      </c>
      <c r="D181" t="s">
        <v>2432</v>
      </c>
      <c r="E181" t="s">
        <v>2308</v>
      </c>
      <c r="F181" t="s">
        <v>2309</v>
      </c>
      <c r="G181" s="2">
        <v>45524</v>
      </c>
      <c r="H181" s="5">
        <v>50000</v>
      </c>
      <c r="I181" t="s">
        <v>2305</v>
      </c>
      <c r="J181" t="s">
        <v>2325</v>
      </c>
    </row>
    <row r="182" spans="1:10" x14ac:dyDescent="0.45">
      <c r="A182" t="s">
        <v>734</v>
      </c>
      <c r="B182" t="s">
        <v>2458</v>
      </c>
      <c r="C182" t="s">
        <v>2289</v>
      </c>
      <c r="D182" t="s">
        <v>2313</v>
      </c>
      <c r="E182" t="s">
        <v>2314</v>
      </c>
      <c r="F182" t="s">
        <v>2298</v>
      </c>
      <c r="G182" s="2">
        <v>44700</v>
      </c>
      <c r="H182" s="5">
        <v>150000</v>
      </c>
      <c r="I182" t="s">
        <v>2310</v>
      </c>
      <c r="J182" t="s">
        <v>2294</v>
      </c>
    </row>
    <row r="183" spans="1:10" x14ac:dyDescent="0.45">
      <c r="A183" t="s">
        <v>2106</v>
      </c>
      <c r="B183" t="s">
        <v>2472</v>
      </c>
      <c r="C183" t="s">
        <v>2289</v>
      </c>
      <c r="D183" t="s">
        <v>2341</v>
      </c>
      <c r="E183" t="s">
        <v>2341</v>
      </c>
      <c r="F183" t="s">
        <v>2318</v>
      </c>
      <c r="G183" s="2">
        <v>45283</v>
      </c>
      <c r="H183" s="5">
        <v>500000</v>
      </c>
      <c r="I183" t="s">
        <v>2310</v>
      </c>
      <c r="J183" t="s">
        <v>2294</v>
      </c>
    </row>
    <row r="184" spans="1:10" x14ac:dyDescent="0.45">
      <c r="A184" t="s">
        <v>175</v>
      </c>
      <c r="B184" t="s">
        <v>2490</v>
      </c>
      <c r="C184" t="s">
        <v>2340</v>
      </c>
      <c r="D184" t="s">
        <v>2355</v>
      </c>
      <c r="E184" t="s">
        <v>2356</v>
      </c>
      <c r="F184" t="s">
        <v>2322</v>
      </c>
      <c r="G184" s="2">
        <v>44838</v>
      </c>
      <c r="H184" s="5">
        <v>50000</v>
      </c>
      <c r="I184" t="s">
        <v>2293</v>
      </c>
      <c r="J184" t="s">
        <v>2325</v>
      </c>
    </row>
    <row r="185" spans="1:10" x14ac:dyDescent="0.45">
      <c r="A185" t="s">
        <v>965</v>
      </c>
      <c r="B185" t="s">
        <v>2491</v>
      </c>
      <c r="C185" t="s">
        <v>2289</v>
      </c>
      <c r="D185" t="s">
        <v>2316</v>
      </c>
      <c r="E185" t="s">
        <v>2317</v>
      </c>
      <c r="F185" t="s">
        <v>2318</v>
      </c>
      <c r="G185" s="2">
        <v>44970</v>
      </c>
      <c r="H185" s="5">
        <v>50000</v>
      </c>
      <c r="I185" t="s">
        <v>2310</v>
      </c>
      <c r="J185" t="s">
        <v>2294</v>
      </c>
    </row>
    <row r="186" spans="1:10" x14ac:dyDescent="0.45">
      <c r="A186" t="s">
        <v>181</v>
      </c>
      <c r="B186" t="s">
        <v>2492</v>
      </c>
      <c r="C186" t="s">
        <v>2340</v>
      </c>
      <c r="D186" t="s">
        <v>2336</v>
      </c>
      <c r="E186" t="s">
        <v>2337</v>
      </c>
      <c r="F186" t="s">
        <v>2322</v>
      </c>
      <c r="G186" s="2">
        <v>44636</v>
      </c>
      <c r="H186" s="5">
        <v>750000</v>
      </c>
      <c r="I186" t="s">
        <v>2310</v>
      </c>
      <c r="J186" t="s">
        <v>2294</v>
      </c>
    </row>
    <row r="187" spans="1:10" x14ac:dyDescent="0.45">
      <c r="A187" t="s">
        <v>1576</v>
      </c>
      <c r="B187" t="s">
        <v>2417</v>
      </c>
      <c r="C187" t="s">
        <v>2289</v>
      </c>
      <c r="D187" t="s">
        <v>2316</v>
      </c>
      <c r="E187" t="s">
        <v>2317</v>
      </c>
      <c r="F187" t="s">
        <v>2318</v>
      </c>
      <c r="G187" s="2">
        <v>45315</v>
      </c>
      <c r="H187" s="5">
        <v>250000</v>
      </c>
      <c r="I187" t="s">
        <v>2293</v>
      </c>
      <c r="J187" t="s">
        <v>2294</v>
      </c>
    </row>
    <row r="188" spans="1:10" x14ac:dyDescent="0.45">
      <c r="A188" t="s">
        <v>61</v>
      </c>
      <c r="B188" t="s">
        <v>2463</v>
      </c>
      <c r="C188" t="s">
        <v>2340</v>
      </c>
      <c r="D188" t="s">
        <v>2336</v>
      </c>
      <c r="E188" t="s">
        <v>2337</v>
      </c>
      <c r="F188" t="s">
        <v>2322</v>
      </c>
      <c r="G188" s="2">
        <v>45580</v>
      </c>
      <c r="H188" s="5">
        <v>150000</v>
      </c>
      <c r="I188" t="s">
        <v>2299</v>
      </c>
      <c r="J188" t="s">
        <v>2294</v>
      </c>
    </row>
    <row r="189" spans="1:10" x14ac:dyDescent="0.45">
      <c r="A189" t="s">
        <v>638</v>
      </c>
      <c r="B189" t="s">
        <v>2430</v>
      </c>
      <c r="C189" t="s">
        <v>2289</v>
      </c>
      <c r="D189" t="s">
        <v>2372</v>
      </c>
      <c r="E189" t="s">
        <v>2373</v>
      </c>
      <c r="F189" t="s">
        <v>2318</v>
      </c>
      <c r="G189" s="2">
        <v>45795</v>
      </c>
      <c r="H189" s="5">
        <v>100000</v>
      </c>
      <c r="I189" t="s">
        <v>2305</v>
      </c>
      <c r="J189" t="s">
        <v>2294</v>
      </c>
    </row>
    <row r="190" spans="1:10" x14ac:dyDescent="0.45">
      <c r="A190" t="s">
        <v>983</v>
      </c>
      <c r="B190" t="s">
        <v>2493</v>
      </c>
      <c r="C190" t="s">
        <v>2289</v>
      </c>
      <c r="D190" t="s">
        <v>2372</v>
      </c>
      <c r="E190" t="s">
        <v>2373</v>
      </c>
      <c r="F190" t="s">
        <v>2318</v>
      </c>
      <c r="G190" s="2">
        <v>45796</v>
      </c>
      <c r="H190" s="5">
        <v>750000</v>
      </c>
      <c r="I190" t="s">
        <v>2305</v>
      </c>
      <c r="J190" t="s">
        <v>2294</v>
      </c>
    </row>
    <row r="191" spans="1:10" x14ac:dyDescent="0.45">
      <c r="A191" t="s">
        <v>633</v>
      </c>
      <c r="B191" t="s">
        <v>2494</v>
      </c>
      <c r="C191" t="s">
        <v>2302</v>
      </c>
      <c r="D191" t="s">
        <v>2376</v>
      </c>
      <c r="E191" t="s">
        <v>2377</v>
      </c>
      <c r="F191" t="s">
        <v>2298</v>
      </c>
      <c r="G191" s="2">
        <v>45284</v>
      </c>
      <c r="H191" s="5">
        <v>500000</v>
      </c>
      <c r="I191" t="s">
        <v>2299</v>
      </c>
      <c r="J191" t="s">
        <v>2294</v>
      </c>
    </row>
    <row r="192" spans="1:10" x14ac:dyDescent="0.45">
      <c r="A192" t="s">
        <v>668</v>
      </c>
      <c r="B192" t="s">
        <v>2422</v>
      </c>
      <c r="C192" t="s">
        <v>2289</v>
      </c>
      <c r="D192" t="s">
        <v>2316</v>
      </c>
      <c r="E192" t="s">
        <v>2317</v>
      </c>
      <c r="F192" t="s">
        <v>2318</v>
      </c>
      <c r="G192" s="2">
        <v>45953</v>
      </c>
      <c r="H192" s="5">
        <v>100000</v>
      </c>
      <c r="I192" t="s">
        <v>2299</v>
      </c>
      <c r="J192" t="s">
        <v>2294</v>
      </c>
    </row>
    <row r="193" spans="1:10" x14ac:dyDescent="0.45">
      <c r="A193" t="s">
        <v>438</v>
      </c>
      <c r="B193" t="s">
        <v>2495</v>
      </c>
      <c r="C193" t="s">
        <v>2289</v>
      </c>
      <c r="D193" t="s">
        <v>2366</v>
      </c>
      <c r="E193" t="s">
        <v>2367</v>
      </c>
      <c r="F193" t="s">
        <v>2309</v>
      </c>
      <c r="G193" s="2">
        <v>44699</v>
      </c>
      <c r="H193" s="5">
        <v>100000</v>
      </c>
      <c r="I193" t="s">
        <v>2293</v>
      </c>
      <c r="J193" t="s">
        <v>2294</v>
      </c>
    </row>
    <row r="194" spans="1:10" x14ac:dyDescent="0.45">
      <c r="A194" t="s">
        <v>613</v>
      </c>
      <c r="B194" t="s">
        <v>2496</v>
      </c>
      <c r="C194" t="s">
        <v>2340</v>
      </c>
      <c r="D194" t="s">
        <v>2336</v>
      </c>
      <c r="E194" t="s">
        <v>2337</v>
      </c>
      <c r="F194" t="s">
        <v>2322</v>
      </c>
      <c r="G194" s="2">
        <v>45952</v>
      </c>
      <c r="H194" s="5">
        <v>250000</v>
      </c>
      <c r="I194" t="s">
        <v>2299</v>
      </c>
      <c r="J194" t="s">
        <v>2294</v>
      </c>
    </row>
    <row r="195" spans="1:10" x14ac:dyDescent="0.45">
      <c r="A195" t="s">
        <v>1293</v>
      </c>
      <c r="B195" t="s">
        <v>2497</v>
      </c>
      <c r="C195" t="s">
        <v>2340</v>
      </c>
      <c r="D195" t="s">
        <v>2372</v>
      </c>
      <c r="E195" t="s">
        <v>2373</v>
      </c>
      <c r="F195" t="s">
        <v>2318</v>
      </c>
      <c r="G195" s="2">
        <v>45377</v>
      </c>
      <c r="H195" s="5">
        <v>150000</v>
      </c>
      <c r="I195" t="s">
        <v>2305</v>
      </c>
      <c r="J195" t="s">
        <v>2294</v>
      </c>
    </row>
    <row r="196" spans="1:10" x14ac:dyDescent="0.45">
      <c r="A196" t="s">
        <v>443</v>
      </c>
      <c r="B196" t="s">
        <v>2328</v>
      </c>
      <c r="C196" t="s">
        <v>2340</v>
      </c>
      <c r="D196" t="s">
        <v>2341</v>
      </c>
      <c r="E196" t="s">
        <v>2341</v>
      </c>
      <c r="F196" t="s">
        <v>2318</v>
      </c>
      <c r="G196" s="2">
        <v>45354</v>
      </c>
      <c r="H196" s="5">
        <v>500000</v>
      </c>
      <c r="I196" t="s">
        <v>2310</v>
      </c>
      <c r="J196" t="s">
        <v>2294</v>
      </c>
    </row>
    <row r="197" spans="1:10" x14ac:dyDescent="0.45">
      <c r="A197" t="s">
        <v>930</v>
      </c>
      <c r="B197" t="s">
        <v>2461</v>
      </c>
      <c r="C197" t="s">
        <v>2340</v>
      </c>
      <c r="D197" t="s">
        <v>2355</v>
      </c>
      <c r="E197" t="s">
        <v>2356</v>
      </c>
      <c r="F197" t="s">
        <v>2322</v>
      </c>
      <c r="G197" s="2">
        <v>45567</v>
      </c>
      <c r="H197" s="5">
        <v>100000</v>
      </c>
      <c r="I197" t="s">
        <v>2310</v>
      </c>
      <c r="J197" t="s">
        <v>2294</v>
      </c>
    </row>
    <row r="198" spans="1:10" x14ac:dyDescent="0.45">
      <c r="A198" t="s">
        <v>2498</v>
      </c>
      <c r="B198" t="s">
        <v>2499</v>
      </c>
      <c r="C198" t="s">
        <v>2302</v>
      </c>
      <c r="D198" t="s">
        <v>2355</v>
      </c>
      <c r="E198" t="s">
        <v>2356</v>
      </c>
      <c r="F198" t="s">
        <v>2322</v>
      </c>
      <c r="G198" s="2">
        <v>45958</v>
      </c>
      <c r="H198" s="5">
        <v>150000</v>
      </c>
      <c r="I198" t="s">
        <v>2293</v>
      </c>
      <c r="J198" t="s">
        <v>2294</v>
      </c>
    </row>
    <row r="199" spans="1:10" x14ac:dyDescent="0.45">
      <c r="A199" t="s">
        <v>1271</v>
      </c>
      <c r="B199" t="s">
        <v>2500</v>
      </c>
      <c r="C199" t="s">
        <v>2302</v>
      </c>
      <c r="D199" t="s">
        <v>2307</v>
      </c>
      <c r="E199" t="s">
        <v>2308</v>
      </c>
      <c r="F199" t="s">
        <v>2309</v>
      </c>
      <c r="G199" s="2">
        <v>44884</v>
      </c>
      <c r="H199" s="5">
        <v>750000</v>
      </c>
      <c r="I199" t="s">
        <v>2293</v>
      </c>
      <c r="J199" t="s">
        <v>2294</v>
      </c>
    </row>
    <row r="200" spans="1:10" x14ac:dyDescent="0.45">
      <c r="A200" t="s">
        <v>1649</v>
      </c>
      <c r="B200" t="s">
        <v>2501</v>
      </c>
      <c r="C200" t="s">
        <v>2340</v>
      </c>
      <c r="D200" t="s">
        <v>2303</v>
      </c>
      <c r="E200" t="s">
        <v>2304</v>
      </c>
      <c r="F200" t="s">
        <v>2292</v>
      </c>
      <c r="G200" s="2">
        <v>44810</v>
      </c>
      <c r="H200" s="5">
        <v>100000</v>
      </c>
      <c r="I200" t="s">
        <v>2293</v>
      </c>
      <c r="J200" t="s">
        <v>2294</v>
      </c>
    </row>
    <row r="201" spans="1:10" x14ac:dyDescent="0.45">
      <c r="A201" t="s">
        <v>154</v>
      </c>
      <c r="B201" t="s">
        <v>2502</v>
      </c>
      <c r="C201" t="s">
        <v>2340</v>
      </c>
      <c r="D201" t="s">
        <v>2349</v>
      </c>
      <c r="E201" t="s">
        <v>2350</v>
      </c>
      <c r="F201" t="s">
        <v>2322</v>
      </c>
      <c r="G201" s="2">
        <v>45317</v>
      </c>
      <c r="H201" s="5">
        <v>250000</v>
      </c>
      <c r="I201" t="s">
        <v>2293</v>
      </c>
      <c r="J201" t="s">
        <v>2294</v>
      </c>
    </row>
    <row r="202" spans="1:10" x14ac:dyDescent="0.45">
      <c r="A202" t="s">
        <v>508</v>
      </c>
      <c r="B202" t="s">
        <v>2503</v>
      </c>
      <c r="C202" t="s">
        <v>2289</v>
      </c>
      <c r="D202" t="s">
        <v>2366</v>
      </c>
      <c r="E202" t="s">
        <v>2367</v>
      </c>
      <c r="F202" t="s">
        <v>2309</v>
      </c>
      <c r="G202" s="2">
        <v>45377</v>
      </c>
      <c r="H202" s="5">
        <v>750000</v>
      </c>
      <c r="I202" t="s">
        <v>2293</v>
      </c>
      <c r="J202" t="s">
        <v>2294</v>
      </c>
    </row>
    <row r="203" spans="1:10" x14ac:dyDescent="0.45">
      <c r="A203" t="s">
        <v>861</v>
      </c>
      <c r="B203" t="s">
        <v>2504</v>
      </c>
      <c r="C203" t="s">
        <v>2289</v>
      </c>
      <c r="D203" t="s">
        <v>2320</v>
      </c>
      <c r="E203" t="s">
        <v>2321</v>
      </c>
      <c r="F203" t="s">
        <v>2322</v>
      </c>
      <c r="G203" s="2">
        <v>45211</v>
      </c>
      <c r="H203" s="5">
        <v>750000</v>
      </c>
      <c r="I203" t="s">
        <v>2310</v>
      </c>
      <c r="J203" t="s">
        <v>2294</v>
      </c>
    </row>
    <row r="204" spans="1:10" x14ac:dyDescent="0.45">
      <c r="A204" t="s">
        <v>718</v>
      </c>
      <c r="B204" t="s">
        <v>2505</v>
      </c>
      <c r="C204" t="s">
        <v>2302</v>
      </c>
      <c r="D204" t="s">
        <v>2432</v>
      </c>
      <c r="E204" t="s">
        <v>2308</v>
      </c>
      <c r="F204" t="s">
        <v>2309</v>
      </c>
      <c r="G204" s="2">
        <v>45691</v>
      </c>
      <c r="H204" s="5">
        <v>750000</v>
      </c>
      <c r="I204" t="s">
        <v>2305</v>
      </c>
      <c r="J204" t="s">
        <v>2294</v>
      </c>
    </row>
    <row r="205" spans="1:10" x14ac:dyDescent="0.45">
      <c r="A205" t="s">
        <v>248</v>
      </c>
      <c r="B205" t="s">
        <v>2506</v>
      </c>
      <c r="C205" t="s">
        <v>2302</v>
      </c>
      <c r="D205" t="s">
        <v>2383</v>
      </c>
      <c r="E205" t="s">
        <v>2304</v>
      </c>
      <c r="F205" t="s">
        <v>2292</v>
      </c>
      <c r="G205" s="2">
        <v>44675</v>
      </c>
      <c r="H205" s="5">
        <v>50000</v>
      </c>
      <c r="I205" t="s">
        <v>2305</v>
      </c>
      <c r="J205" t="s">
        <v>2294</v>
      </c>
    </row>
    <row r="206" spans="1:10" x14ac:dyDescent="0.45">
      <c r="A206" t="s">
        <v>841</v>
      </c>
      <c r="B206" t="s">
        <v>2507</v>
      </c>
      <c r="C206" t="s">
        <v>2289</v>
      </c>
      <c r="D206" t="s">
        <v>2303</v>
      </c>
      <c r="E206" t="s">
        <v>2304</v>
      </c>
      <c r="F206" t="s">
        <v>2292</v>
      </c>
      <c r="G206" s="2">
        <v>45624</v>
      </c>
      <c r="H206" s="5">
        <v>150000</v>
      </c>
      <c r="I206" t="s">
        <v>2293</v>
      </c>
      <c r="J206" t="s">
        <v>2294</v>
      </c>
    </row>
    <row r="207" spans="1:10" x14ac:dyDescent="0.45">
      <c r="A207" t="s">
        <v>2508</v>
      </c>
      <c r="B207" t="s">
        <v>2509</v>
      </c>
      <c r="C207" t="s">
        <v>2340</v>
      </c>
      <c r="D207" t="s">
        <v>2307</v>
      </c>
      <c r="E207" t="s">
        <v>2308</v>
      </c>
      <c r="F207" t="s">
        <v>2309</v>
      </c>
      <c r="G207" s="2">
        <v>45820</v>
      </c>
      <c r="H207" s="5">
        <v>500000</v>
      </c>
      <c r="I207" t="s">
        <v>2310</v>
      </c>
      <c r="J207" t="s">
        <v>2294</v>
      </c>
    </row>
    <row r="208" spans="1:10" x14ac:dyDescent="0.45">
      <c r="A208" t="s">
        <v>1565</v>
      </c>
      <c r="B208" t="s">
        <v>2497</v>
      </c>
      <c r="C208" t="s">
        <v>2289</v>
      </c>
      <c r="D208" t="s">
        <v>2324</v>
      </c>
      <c r="E208" t="s">
        <v>2304</v>
      </c>
      <c r="F208" t="s">
        <v>2309</v>
      </c>
      <c r="G208" s="2">
        <v>45840</v>
      </c>
      <c r="H208" s="5">
        <v>750000</v>
      </c>
      <c r="I208" t="s">
        <v>2299</v>
      </c>
      <c r="J208" t="s">
        <v>2294</v>
      </c>
    </row>
    <row r="209" spans="1:10" x14ac:dyDescent="0.45">
      <c r="A209" t="s">
        <v>516</v>
      </c>
      <c r="B209" t="s">
        <v>2510</v>
      </c>
      <c r="C209" t="s">
        <v>2289</v>
      </c>
      <c r="D209" t="s">
        <v>2324</v>
      </c>
      <c r="E209" t="s">
        <v>2304</v>
      </c>
      <c r="F209" t="s">
        <v>2309</v>
      </c>
      <c r="G209" s="2">
        <v>45875</v>
      </c>
      <c r="H209" s="5">
        <v>500000</v>
      </c>
      <c r="I209" t="s">
        <v>2310</v>
      </c>
      <c r="J209" t="s">
        <v>2294</v>
      </c>
    </row>
    <row r="210" spans="1:10" x14ac:dyDescent="0.45">
      <c r="A210" t="s">
        <v>714</v>
      </c>
      <c r="B210" t="s">
        <v>2511</v>
      </c>
      <c r="C210" t="s">
        <v>2340</v>
      </c>
      <c r="D210" t="s">
        <v>2324</v>
      </c>
      <c r="E210" t="s">
        <v>2304</v>
      </c>
      <c r="F210" t="s">
        <v>2309</v>
      </c>
      <c r="G210" s="2">
        <v>45846</v>
      </c>
      <c r="H210" s="5">
        <v>500000</v>
      </c>
      <c r="I210" t="s">
        <v>2310</v>
      </c>
      <c r="J210" t="s">
        <v>2325</v>
      </c>
    </row>
    <row r="211" spans="1:10" x14ac:dyDescent="0.45">
      <c r="A211" t="s">
        <v>1149</v>
      </c>
      <c r="B211" t="s">
        <v>2425</v>
      </c>
      <c r="C211" t="s">
        <v>2289</v>
      </c>
      <c r="D211" t="s">
        <v>2349</v>
      </c>
      <c r="E211" t="s">
        <v>2350</v>
      </c>
      <c r="F211" t="s">
        <v>2322</v>
      </c>
      <c r="G211" s="2">
        <v>44711</v>
      </c>
      <c r="H211" s="5">
        <v>750000</v>
      </c>
      <c r="I211" t="s">
        <v>2310</v>
      </c>
      <c r="J211" t="s">
        <v>2294</v>
      </c>
    </row>
    <row r="212" spans="1:10" x14ac:dyDescent="0.45">
      <c r="A212" t="s">
        <v>216</v>
      </c>
      <c r="B212" t="s">
        <v>2470</v>
      </c>
      <c r="C212" t="s">
        <v>2289</v>
      </c>
      <c r="D212" t="s">
        <v>2349</v>
      </c>
      <c r="E212" t="s">
        <v>2350</v>
      </c>
      <c r="F212" t="s">
        <v>2322</v>
      </c>
      <c r="G212" s="2">
        <v>44856</v>
      </c>
      <c r="H212" s="5">
        <v>150000</v>
      </c>
      <c r="I212" t="s">
        <v>2293</v>
      </c>
      <c r="J212" t="s">
        <v>2294</v>
      </c>
    </row>
    <row r="213" spans="1:10" x14ac:dyDescent="0.45">
      <c r="A213" t="s">
        <v>50</v>
      </c>
      <c r="B213" t="s">
        <v>2512</v>
      </c>
      <c r="C213" t="s">
        <v>2302</v>
      </c>
      <c r="D213" t="s">
        <v>2376</v>
      </c>
      <c r="E213" t="s">
        <v>2377</v>
      </c>
      <c r="F213" t="s">
        <v>2298</v>
      </c>
      <c r="G213" s="2">
        <v>45616</v>
      </c>
      <c r="H213" s="5">
        <v>500000</v>
      </c>
      <c r="I213" t="s">
        <v>2310</v>
      </c>
      <c r="J213" t="s">
        <v>2294</v>
      </c>
    </row>
    <row r="214" spans="1:10" x14ac:dyDescent="0.45">
      <c r="A214" t="s">
        <v>214</v>
      </c>
      <c r="B214" t="s">
        <v>2358</v>
      </c>
      <c r="C214" t="s">
        <v>2289</v>
      </c>
      <c r="D214" t="s">
        <v>2341</v>
      </c>
      <c r="E214" t="s">
        <v>2341</v>
      </c>
      <c r="F214" t="s">
        <v>2318</v>
      </c>
      <c r="G214" s="2">
        <v>44760</v>
      </c>
      <c r="H214" s="5">
        <v>50000</v>
      </c>
      <c r="I214" t="s">
        <v>2310</v>
      </c>
      <c r="J214" t="s">
        <v>2294</v>
      </c>
    </row>
    <row r="215" spans="1:10" x14ac:dyDescent="0.45">
      <c r="A215" t="s">
        <v>1788</v>
      </c>
      <c r="B215" t="s">
        <v>2513</v>
      </c>
      <c r="C215" t="s">
        <v>2302</v>
      </c>
      <c r="D215" t="s">
        <v>2366</v>
      </c>
      <c r="E215" t="s">
        <v>2367</v>
      </c>
      <c r="F215" t="s">
        <v>2309</v>
      </c>
      <c r="G215" s="2">
        <v>44889</v>
      </c>
      <c r="H215" s="5">
        <v>150000</v>
      </c>
      <c r="I215" t="s">
        <v>2299</v>
      </c>
      <c r="J215" t="s">
        <v>2294</v>
      </c>
    </row>
    <row r="216" spans="1:10" x14ac:dyDescent="0.45">
      <c r="A216" t="s">
        <v>976</v>
      </c>
      <c r="B216" t="s">
        <v>2514</v>
      </c>
      <c r="C216" t="s">
        <v>2340</v>
      </c>
      <c r="D216" t="s">
        <v>2290</v>
      </c>
      <c r="E216" t="s">
        <v>2291</v>
      </c>
      <c r="F216" t="s">
        <v>2292</v>
      </c>
      <c r="G216" s="2">
        <v>45616</v>
      </c>
      <c r="H216" s="5">
        <v>250000</v>
      </c>
      <c r="I216" t="s">
        <v>2305</v>
      </c>
      <c r="J216" t="s">
        <v>2294</v>
      </c>
    </row>
    <row r="217" spans="1:10" x14ac:dyDescent="0.45">
      <c r="A217" t="s">
        <v>740</v>
      </c>
      <c r="B217" t="s">
        <v>2422</v>
      </c>
      <c r="C217" t="s">
        <v>2340</v>
      </c>
      <c r="D217" t="s">
        <v>2386</v>
      </c>
      <c r="E217" t="s">
        <v>2386</v>
      </c>
      <c r="F217" t="s">
        <v>2318</v>
      </c>
      <c r="G217" s="2">
        <v>45055</v>
      </c>
      <c r="H217" s="5">
        <v>100000</v>
      </c>
      <c r="I217" t="s">
        <v>2305</v>
      </c>
      <c r="J217" t="s">
        <v>2294</v>
      </c>
    </row>
    <row r="218" spans="1:10" x14ac:dyDescent="0.45">
      <c r="A218" t="s">
        <v>641</v>
      </c>
      <c r="B218" t="s">
        <v>2515</v>
      </c>
      <c r="C218" t="s">
        <v>2289</v>
      </c>
      <c r="D218" t="s">
        <v>2363</v>
      </c>
      <c r="E218" t="s">
        <v>2364</v>
      </c>
      <c r="F218" t="s">
        <v>2298</v>
      </c>
      <c r="G218" s="2">
        <v>44578</v>
      </c>
      <c r="H218" s="5">
        <v>50000</v>
      </c>
      <c r="I218" t="s">
        <v>2305</v>
      </c>
      <c r="J218" t="s">
        <v>2294</v>
      </c>
    </row>
    <row r="219" spans="1:10" x14ac:dyDescent="0.45">
      <c r="A219" t="s">
        <v>146</v>
      </c>
      <c r="B219" t="s">
        <v>2362</v>
      </c>
      <c r="C219" t="s">
        <v>2289</v>
      </c>
      <c r="D219" t="s">
        <v>2376</v>
      </c>
      <c r="E219" t="s">
        <v>2377</v>
      </c>
      <c r="F219" t="s">
        <v>2298</v>
      </c>
      <c r="G219" s="2">
        <v>45382</v>
      </c>
      <c r="H219" s="5">
        <v>50000</v>
      </c>
      <c r="I219" t="s">
        <v>2305</v>
      </c>
      <c r="J219" t="s">
        <v>2294</v>
      </c>
    </row>
    <row r="220" spans="1:10" x14ac:dyDescent="0.45">
      <c r="A220" t="s">
        <v>1373</v>
      </c>
      <c r="B220" t="s">
        <v>2516</v>
      </c>
      <c r="C220" t="s">
        <v>2289</v>
      </c>
      <c r="D220" t="s">
        <v>2307</v>
      </c>
      <c r="E220" t="s">
        <v>2308</v>
      </c>
      <c r="F220" t="s">
        <v>2309</v>
      </c>
      <c r="G220" s="2">
        <v>45484</v>
      </c>
      <c r="H220" s="5">
        <v>500000</v>
      </c>
      <c r="I220" t="s">
        <v>2310</v>
      </c>
      <c r="J220" t="s">
        <v>2325</v>
      </c>
    </row>
    <row r="221" spans="1:10" x14ac:dyDescent="0.45">
      <c r="A221" t="s">
        <v>178</v>
      </c>
      <c r="B221" t="s">
        <v>2517</v>
      </c>
      <c r="C221" t="s">
        <v>2302</v>
      </c>
      <c r="D221" t="s">
        <v>2366</v>
      </c>
      <c r="E221" t="s">
        <v>2367</v>
      </c>
      <c r="F221" t="s">
        <v>2309</v>
      </c>
      <c r="G221" s="2">
        <v>45368</v>
      </c>
      <c r="H221" s="5">
        <v>150000</v>
      </c>
      <c r="I221" t="s">
        <v>2293</v>
      </c>
      <c r="J221" t="s">
        <v>2294</v>
      </c>
    </row>
    <row r="222" spans="1:10" x14ac:dyDescent="0.45">
      <c r="A222" t="s">
        <v>2518</v>
      </c>
      <c r="B222" t="s">
        <v>2519</v>
      </c>
      <c r="C222" t="s">
        <v>2289</v>
      </c>
      <c r="D222" t="s">
        <v>2376</v>
      </c>
      <c r="E222" t="s">
        <v>2377</v>
      </c>
      <c r="F222" t="s">
        <v>2298</v>
      </c>
      <c r="G222" s="2">
        <v>45604</v>
      </c>
      <c r="H222" s="5">
        <v>250000</v>
      </c>
      <c r="I222" t="s">
        <v>2305</v>
      </c>
      <c r="J222" t="s">
        <v>2294</v>
      </c>
    </row>
    <row r="223" spans="1:10" x14ac:dyDescent="0.45">
      <c r="A223" t="s">
        <v>77</v>
      </c>
      <c r="B223" t="s">
        <v>2520</v>
      </c>
      <c r="C223" t="s">
        <v>2302</v>
      </c>
      <c r="D223" t="s">
        <v>2383</v>
      </c>
      <c r="E223" t="s">
        <v>2304</v>
      </c>
      <c r="F223" t="s">
        <v>2292</v>
      </c>
      <c r="G223" s="2">
        <v>45625</v>
      </c>
      <c r="H223" s="5">
        <v>250000</v>
      </c>
      <c r="I223" t="s">
        <v>2310</v>
      </c>
      <c r="J223" t="s">
        <v>2294</v>
      </c>
    </row>
    <row r="224" spans="1:10" x14ac:dyDescent="0.45">
      <c r="A224" t="s">
        <v>520</v>
      </c>
      <c r="B224" t="s">
        <v>2521</v>
      </c>
      <c r="C224" t="s">
        <v>2289</v>
      </c>
      <c r="D224" t="s">
        <v>2383</v>
      </c>
      <c r="E224" t="s">
        <v>2304</v>
      </c>
      <c r="F224" t="s">
        <v>2292</v>
      </c>
      <c r="G224" s="2">
        <v>45824</v>
      </c>
      <c r="H224" s="5">
        <v>750000</v>
      </c>
      <c r="I224" t="s">
        <v>2293</v>
      </c>
      <c r="J224" t="s">
        <v>2294</v>
      </c>
    </row>
    <row r="225" spans="1:10" x14ac:dyDescent="0.45">
      <c r="A225" t="s">
        <v>844</v>
      </c>
      <c r="B225" t="s">
        <v>2522</v>
      </c>
      <c r="C225" t="s">
        <v>2340</v>
      </c>
      <c r="D225" t="s">
        <v>2432</v>
      </c>
      <c r="E225" t="s">
        <v>2308</v>
      </c>
      <c r="F225" t="s">
        <v>2309</v>
      </c>
      <c r="G225" s="2">
        <v>46013</v>
      </c>
      <c r="H225" s="5">
        <v>500000</v>
      </c>
      <c r="I225" t="s">
        <v>2310</v>
      </c>
      <c r="J225" t="s">
        <v>2294</v>
      </c>
    </row>
    <row r="226" spans="1:10" x14ac:dyDescent="0.45">
      <c r="A226" t="s">
        <v>160</v>
      </c>
      <c r="B226" t="s">
        <v>2409</v>
      </c>
      <c r="C226" t="s">
        <v>2302</v>
      </c>
      <c r="D226" t="s">
        <v>2376</v>
      </c>
      <c r="E226" t="s">
        <v>2377</v>
      </c>
      <c r="F226" t="s">
        <v>2298</v>
      </c>
      <c r="G226" s="2">
        <v>45757</v>
      </c>
      <c r="H226" s="5">
        <v>150000</v>
      </c>
      <c r="I226" t="s">
        <v>2293</v>
      </c>
      <c r="J226" t="s">
        <v>2294</v>
      </c>
    </row>
    <row r="227" spans="1:10" x14ac:dyDescent="0.45">
      <c r="A227" t="s">
        <v>408</v>
      </c>
      <c r="B227" t="s">
        <v>2523</v>
      </c>
      <c r="C227" t="s">
        <v>2289</v>
      </c>
      <c r="D227" t="s">
        <v>2386</v>
      </c>
      <c r="E227" t="s">
        <v>2386</v>
      </c>
      <c r="F227" t="s">
        <v>2318</v>
      </c>
      <c r="G227" s="2">
        <v>45904</v>
      </c>
      <c r="H227" s="5">
        <v>500000</v>
      </c>
      <c r="I227" t="s">
        <v>2305</v>
      </c>
      <c r="J227" t="s">
        <v>2294</v>
      </c>
    </row>
    <row r="228" spans="1:10" x14ac:dyDescent="0.45">
      <c r="A228" t="s">
        <v>694</v>
      </c>
      <c r="B228" t="s">
        <v>2524</v>
      </c>
      <c r="C228" t="s">
        <v>2340</v>
      </c>
      <c r="D228" t="s">
        <v>2324</v>
      </c>
      <c r="E228" t="s">
        <v>2304</v>
      </c>
      <c r="F228" t="s">
        <v>2309</v>
      </c>
      <c r="G228" s="2">
        <v>45831</v>
      </c>
      <c r="H228" s="5">
        <v>250000</v>
      </c>
      <c r="I228" t="s">
        <v>2310</v>
      </c>
      <c r="J228" t="s">
        <v>2294</v>
      </c>
    </row>
    <row r="229" spans="1:10" x14ac:dyDescent="0.45">
      <c r="A229" t="s">
        <v>670</v>
      </c>
      <c r="B229" t="s">
        <v>2525</v>
      </c>
      <c r="C229" t="s">
        <v>2289</v>
      </c>
      <c r="D229" t="s">
        <v>2316</v>
      </c>
      <c r="E229" t="s">
        <v>2317</v>
      </c>
      <c r="F229" t="s">
        <v>2318</v>
      </c>
      <c r="G229" s="2">
        <v>45465</v>
      </c>
      <c r="H229" s="5">
        <v>150000</v>
      </c>
      <c r="I229" t="s">
        <v>2305</v>
      </c>
      <c r="J229" t="s">
        <v>2294</v>
      </c>
    </row>
    <row r="230" spans="1:10" x14ac:dyDescent="0.45">
      <c r="A230" t="s">
        <v>253</v>
      </c>
      <c r="B230" t="s">
        <v>2506</v>
      </c>
      <c r="C230" t="s">
        <v>2302</v>
      </c>
      <c r="D230" t="s">
        <v>2290</v>
      </c>
      <c r="E230" t="s">
        <v>2291</v>
      </c>
      <c r="F230" t="s">
        <v>2292</v>
      </c>
      <c r="G230" s="2">
        <v>45527</v>
      </c>
      <c r="H230" s="5">
        <v>750000</v>
      </c>
      <c r="I230" t="s">
        <v>2293</v>
      </c>
      <c r="J230" t="s">
        <v>2294</v>
      </c>
    </row>
    <row r="231" spans="1:10" x14ac:dyDescent="0.45">
      <c r="A231" t="s">
        <v>45</v>
      </c>
      <c r="B231" t="s">
        <v>2526</v>
      </c>
      <c r="C231" t="s">
        <v>2289</v>
      </c>
      <c r="D231" t="s">
        <v>2432</v>
      </c>
      <c r="E231" t="s">
        <v>2308</v>
      </c>
      <c r="F231" t="s">
        <v>2309</v>
      </c>
      <c r="G231" s="2">
        <v>45918</v>
      </c>
      <c r="H231" s="5">
        <v>250000</v>
      </c>
      <c r="I231" t="s">
        <v>2305</v>
      </c>
      <c r="J231" t="s">
        <v>2294</v>
      </c>
    </row>
    <row r="232" spans="1:10" x14ac:dyDescent="0.45">
      <c r="A232" t="s">
        <v>74</v>
      </c>
      <c r="B232" t="s">
        <v>2301</v>
      </c>
      <c r="C232" t="s">
        <v>2289</v>
      </c>
      <c r="D232" t="s">
        <v>2303</v>
      </c>
      <c r="E232" t="s">
        <v>2304</v>
      </c>
      <c r="F232" t="s">
        <v>2292</v>
      </c>
      <c r="G232" s="2">
        <v>45287</v>
      </c>
      <c r="H232" s="5">
        <v>750000</v>
      </c>
      <c r="I232" t="s">
        <v>2293</v>
      </c>
      <c r="J232" t="s">
        <v>2294</v>
      </c>
    </row>
    <row r="233" spans="1:10" x14ac:dyDescent="0.45">
      <c r="A233" t="s">
        <v>1808</v>
      </c>
      <c r="B233" t="s">
        <v>2523</v>
      </c>
      <c r="C233" t="s">
        <v>2289</v>
      </c>
      <c r="D233" t="s">
        <v>2313</v>
      </c>
      <c r="E233" t="s">
        <v>2314</v>
      </c>
      <c r="F233" t="s">
        <v>2298</v>
      </c>
      <c r="G233" s="2">
        <v>45066</v>
      </c>
      <c r="H233" s="5">
        <v>150000</v>
      </c>
      <c r="I233" t="s">
        <v>2305</v>
      </c>
      <c r="J233" t="s">
        <v>2294</v>
      </c>
    </row>
    <row r="234" spans="1:10" x14ac:dyDescent="0.45">
      <c r="A234" t="s">
        <v>538</v>
      </c>
      <c r="B234" t="s">
        <v>2527</v>
      </c>
      <c r="C234" t="s">
        <v>2302</v>
      </c>
      <c r="D234" t="s">
        <v>2363</v>
      </c>
      <c r="E234" t="s">
        <v>2364</v>
      </c>
      <c r="F234" t="s">
        <v>2298</v>
      </c>
      <c r="G234" s="2">
        <v>45975</v>
      </c>
      <c r="H234" s="5">
        <v>750000</v>
      </c>
      <c r="I234" t="s">
        <v>2305</v>
      </c>
      <c r="J234" t="s">
        <v>2294</v>
      </c>
    </row>
    <row r="235" spans="1:10" x14ac:dyDescent="0.45">
      <c r="A235" t="s">
        <v>56</v>
      </c>
      <c r="B235" t="s">
        <v>2431</v>
      </c>
      <c r="C235" t="s">
        <v>2289</v>
      </c>
      <c r="D235" t="s">
        <v>2307</v>
      </c>
      <c r="E235" t="s">
        <v>2308</v>
      </c>
      <c r="F235" t="s">
        <v>2309</v>
      </c>
      <c r="G235" s="2">
        <v>45736</v>
      </c>
      <c r="H235" s="5">
        <v>750000</v>
      </c>
      <c r="I235" t="s">
        <v>2305</v>
      </c>
      <c r="J235" t="s">
        <v>2294</v>
      </c>
    </row>
    <row r="236" spans="1:10" x14ac:dyDescent="0.45">
      <c r="A236" t="s">
        <v>620</v>
      </c>
      <c r="B236" t="s">
        <v>2528</v>
      </c>
      <c r="C236" t="s">
        <v>2302</v>
      </c>
      <c r="D236" t="s">
        <v>2336</v>
      </c>
      <c r="E236" t="s">
        <v>2337</v>
      </c>
      <c r="F236" t="s">
        <v>2322</v>
      </c>
      <c r="G236" s="2">
        <v>44861</v>
      </c>
      <c r="H236" s="5">
        <v>150000</v>
      </c>
      <c r="I236" t="s">
        <v>2310</v>
      </c>
      <c r="J236" t="s">
        <v>2325</v>
      </c>
    </row>
    <row r="237" spans="1:10" x14ac:dyDescent="0.45">
      <c r="A237" t="s">
        <v>291</v>
      </c>
      <c r="B237" t="s">
        <v>2481</v>
      </c>
      <c r="C237" t="s">
        <v>2340</v>
      </c>
      <c r="D237" t="s">
        <v>2372</v>
      </c>
      <c r="E237" t="s">
        <v>2373</v>
      </c>
      <c r="F237" t="s">
        <v>2318</v>
      </c>
      <c r="G237" s="2">
        <v>45543</v>
      </c>
      <c r="H237" s="5">
        <v>100000</v>
      </c>
      <c r="I237" t="s">
        <v>2310</v>
      </c>
      <c r="J237" t="s">
        <v>2294</v>
      </c>
    </row>
    <row r="238" spans="1:10" x14ac:dyDescent="0.45">
      <c r="A238" t="s">
        <v>624</v>
      </c>
      <c r="B238" t="s">
        <v>2387</v>
      </c>
      <c r="C238" t="s">
        <v>2289</v>
      </c>
      <c r="D238" t="s">
        <v>2307</v>
      </c>
      <c r="E238" t="s">
        <v>2308</v>
      </c>
      <c r="F238" t="s">
        <v>2309</v>
      </c>
      <c r="G238" s="2">
        <v>45822</v>
      </c>
      <c r="H238" s="5">
        <v>750000</v>
      </c>
      <c r="I238" t="s">
        <v>2305</v>
      </c>
      <c r="J238" t="s">
        <v>2294</v>
      </c>
    </row>
    <row r="239" spans="1:10" x14ac:dyDescent="0.45">
      <c r="A239" t="s">
        <v>896</v>
      </c>
      <c r="B239" t="s">
        <v>2529</v>
      </c>
      <c r="C239" t="s">
        <v>2289</v>
      </c>
      <c r="D239" t="s">
        <v>2432</v>
      </c>
      <c r="E239" t="s">
        <v>2308</v>
      </c>
      <c r="F239" t="s">
        <v>2309</v>
      </c>
      <c r="G239" s="2">
        <v>45408</v>
      </c>
      <c r="H239" s="5">
        <v>150000</v>
      </c>
      <c r="I239" t="s">
        <v>2293</v>
      </c>
      <c r="J239" t="s">
        <v>2294</v>
      </c>
    </row>
    <row r="240" spans="1:10" x14ac:dyDescent="0.45">
      <c r="A240" t="s">
        <v>962</v>
      </c>
      <c r="B240" t="s">
        <v>2530</v>
      </c>
      <c r="C240" t="s">
        <v>2302</v>
      </c>
      <c r="D240" t="s">
        <v>2383</v>
      </c>
      <c r="E240" t="s">
        <v>2304</v>
      </c>
      <c r="F240" t="s">
        <v>2292</v>
      </c>
      <c r="G240" s="2">
        <v>44885</v>
      </c>
      <c r="H240" s="5">
        <v>250000</v>
      </c>
      <c r="I240" t="s">
        <v>2293</v>
      </c>
      <c r="J240" t="s">
        <v>2294</v>
      </c>
    </row>
    <row r="241" spans="1:10" x14ac:dyDescent="0.45">
      <c r="A241" t="s">
        <v>798</v>
      </c>
      <c r="B241" t="s">
        <v>2531</v>
      </c>
      <c r="C241" t="s">
        <v>2302</v>
      </c>
      <c r="D241" t="s">
        <v>2349</v>
      </c>
      <c r="E241" t="s">
        <v>2350</v>
      </c>
      <c r="F241" t="s">
        <v>2322</v>
      </c>
      <c r="G241" s="2">
        <v>45150</v>
      </c>
      <c r="H241" s="5">
        <v>150000</v>
      </c>
      <c r="I241" t="s">
        <v>2310</v>
      </c>
      <c r="J241" t="s">
        <v>2294</v>
      </c>
    </row>
    <row r="242" spans="1:10" x14ac:dyDescent="0.45">
      <c r="A242" t="s">
        <v>806</v>
      </c>
      <c r="B242" t="s">
        <v>2532</v>
      </c>
      <c r="C242" t="s">
        <v>2340</v>
      </c>
      <c r="D242" t="s">
        <v>2372</v>
      </c>
      <c r="E242" t="s">
        <v>2373</v>
      </c>
      <c r="F242" t="s">
        <v>2318</v>
      </c>
      <c r="G242" s="2">
        <v>44638</v>
      </c>
      <c r="H242" s="5">
        <v>100000</v>
      </c>
      <c r="I242" t="s">
        <v>2305</v>
      </c>
      <c r="J242" t="s">
        <v>2294</v>
      </c>
    </row>
    <row r="243" spans="1:10" x14ac:dyDescent="0.45">
      <c r="A243" t="s">
        <v>412</v>
      </c>
      <c r="B243" t="s">
        <v>2533</v>
      </c>
      <c r="C243" t="s">
        <v>2302</v>
      </c>
      <c r="D243" t="s">
        <v>2316</v>
      </c>
      <c r="E243" t="s">
        <v>2317</v>
      </c>
      <c r="F243" t="s">
        <v>2318</v>
      </c>
      <c r="G243" s="2">
        <v>44943</v>
      </c>
      <c r="H243" s="5">
        <v>750000</v>
      </c>
      <c r="I243" t="s">
        <v>2299</v>
      </c>
      <c r="J243" t="s">
        <v>2325</v>
      </c>
    </row>
    <row r="244" spans="1:10" x14ac:dyDescent="0.45">
      <c r="A244" t="s">
        <v>1175</v>
      </c>
      <c r="B244" t="s">
        <v>2534</v>
      </c>
      <c r="C244" t="s">
        <v>2340</v>
      </c>
      <c r="D244" t="s">
        <v>2316</v>
      </c>
      <c r="E244" t="s">
        <v>2317</v>
      </c>
      <c r="F244" t="s">
        <v>2318</v>
      </c>
      <c r="G244" s="2">
        <v>44781</v>
      </c>
      <c r="H244" s="5">
        <v>150000</v>
      </c>
      <c r="I244" t="s">
        <v>2310</v>
      </c>
      <c r="J244" t="s">
        <v>2325</v>
      </c>
    </row>
    <row r="245" spans="1:10" x14ac:dyDescent="0.45">
      <c r="A245" t="s">
        <v>559</v>
      </c>
      <c r="B245" t="s">
        <v>2312</v>
      </c>
      <c r="C245" t="s">
        <v>2302</v>
      </c>
      <c r="D245" t="s">
        <v>2307</v>
      </c>
      <c r="E245" t="s">
        <v>2308</v>
      </c>
      <c r="F245" t="s">
        <v>2309</v>
      </c>
      <c r="G245" s="2">
        <v>44836</v>
      </c>
      <c r="H245" s="5">
        <v>500000</v>
      </c>
      <c r="I245" t="s">
        <v>2305</v>
      </c>
      <c r="J245" t="s">
        <v>2294</v>
      </c>
    </row>
    <row r="246" spans="1:10" x14ac:dyDescent="0.45">
      <c r="A246" t="s">
        <v>1655</v>
      </c>
      <c r="B246" t="s">
        <v>2463</v>
      </c>
      <c r="C246" t="s">
        <v>2302</v>
      </c>
      <c r="D246" t="s">
        <v>2341</v>
      </c>
      <c r="E246" t="s">
        <v>2341</v>
      </c>
      <c r="F246" t="s">
        <v>2318</v>
      </c>
      <c r="G246" s="2">
        <v>45889</v>
      </c>
      <c r="H246" s="5">
        <v>150000</v>
      </c>
      <c r="I246" t="s">
        <v>2293</v>
      </c>
      <c r="J246" t="s">
        <v>2294</v>
      </c>
    </row>
    <row r="247" spans="1:10" x14ac:dyDescent="0.45">
      <c r="A247" t="s">
        <v>1120</v>
      </c>
      <c r="B247" t="s">
        <v>2535</v>
      </c>
      <c r="C247" t="s">
        <v>2340</v>
      </c>
      <c r="D247" t="s">
        <v>2296</v>
      </c>
      <c r="E247" t="s">
        <v>2297</v>
      </c>
      <c r="F247" t="s">
        <v>2298</v>
      </c>
      <c r="G247" s="2">
        <v>44957</v>
      </c>
      <c r="H247" s="5">
        <v>100000</v>
      </c>
      <c r="I247" t="s">
        <v>2305</v>
      </c>
      <c r="J247" t="s">
        <v>2294</v>
      </c>
    </row>
    <row r="248" spans="1:10" x14ac:dyDescent="0.45">
      <c r="A248" t="s">
        <v>326</v>
      </c>
      <c r="B248" t="s">
        <v>2536</v>
      </c>
      <c r="C248" t="s">
        <v>2340</v>
      </c>
      <c r="D248" t="s">
        <v>2336</v>
      </c>
      <c r="E248" t="s">
        <v>2337</v>
      </c>
      <c r="F248" t="s">
        <v>2322</v>
      </c>
      <c r="G248" s="2">
        <v>44739</v>
      </c>
      <c r="H248" s="5">
        <v>250000</v>
      </c>
      <c r="I248" t="s">
        <v>2293</v>
      </c>
      <c r="J248" t="s">
        <v>2294</v>
      </c>
    </row>
    <row r="249" spans="1:10" x14ac:dyDescent="0.45">
      <c r="A249" t="s">
        <v>492</v>
      </c>
      <c r="B249" t="s">
        <v>2385</v>
      </c>
      <c r="C249" t="s">
        <v>2302</v>
      </c>
      <c r="D249" t="s">
        <v>2383</v>
      </c>
      <c r="E249" t="s">
        <v>2304</v>
      </c>
      <c r="F249" t="s">
        <v>2292</v>
      </c>
      <c r="G249" s="2">
        <v>44575</v>
      </c>
      <c r="H249" s="5">
        <v>150000</v>
      </c>
      <c r="I249" t="s">
        <v>2305</v>
      </c>
      <c r="J249" t="s">
        <v>2294</v>
      </c>
    </row>
    <row r="250" spans="1:10" x14ac:dyDescent="0.45">
      <c r="A250" t="s">
        <v>2537</v>
      </c>
      <c r="B250" t="s">
        <v>2493</v>
      </c>
      <c r="C250" t="s">
        <v>2340</v>
      </c>
      <c r="D250" t="s">
        <v>2313</v>
      </c>
      <c r="E250" t="s">
        <v>2314</v>
      </c>
      <c r="F250" t="s">
        <v>2298</v>
      </c>
      <c r="G250" s="2">
        <v>45735</v>
      </c>
      <c r="H250" s="5">
        <v>50000</v>
      </c>
      <c r="I250" t="s">
        <v>2310</v>
      </c>
      <c r="J250" t="s">
        <v>2294</v>
      </c>
    </row>
    <row r="251" spans="1:10" x14ac:dyDescent="0.45">
      <c r="A251" t="s">
        <v>199</v>
      </c>
      <c r="B251" t="s">
        <v>2538</v>
      </c>
      <c r="C251" t="s">
        <v>2340</v>
      </c>
      <c r="D251" t="s">
        <v>2330</v>
      </c>
      <c r="E251" t="s">
        <v>2291</v>
      </c>
      <c r="F251" t="s">
        <v>2292</v>
      </c>
      <c r="G251" s="2">
        <v>44889</v>
      </c>
      <c r="H251" s="5">
        <v>250000</v>
      </c>
      <c r="I251" t="s">
        <v>2293</v>
      </c>
      <c r="J251" t="s">
        <v>2325</v>
      </c>
    </row>
    <row r="252" spans="1:10" x14ac:dyDescent="0.45">
      <c r="A252" t="s">
        <v>589</v>
      </c>
      <c r="B252" t="s">
        <v>2539</v>
      </c>
      <c r="C252" t="s">
        <v>2340</v>
      </c>
      <c r="D252" t="s">
        <v>2363</v>
      </c>
      <c r="E252" t="s">
        <v>2364</v>
      </c>
      <c r="F252" t="s">
        <v>2298</v>
      </c>
      <c r="G252" s="2">
        <v>45166</v>
      </c>
      <c r="H252" s="5">
        <v>150000</v>
      </c>
      <c r="I252" t="s">
        <v>2305</v>
      </c>
      <c r="J252" t="s">
        <v>2294</v>
      </c>
    </row>
    <row r="253" spans="1:10" x14ac:dyDescent="0.45">
      <c r="A253" t="s">
        <v>330</v>
      </c>
      <c r="B253" t="s">
        <v>2540</v>
      </c>
      <c r="C253" t="s">
        <v>2340</v>
      </c>
      <c r="D253" t="s">
        <v>2383</v>
      </c>
      <c r="E253" t="s">
        <v>2304</v>
      </c>
      <c r="F253" t="s">
        <v>2292</v>
      </c>
      <c r="G253" s="2">
        <v>45802</v>
      </c>
      <c r="H253" s="5">
        <v>150000</v>
      </c>
      <c r="I253" t="s">
        <v>2305</v>
      </c>
      <c r="J253" t="s">
        <v>2294</v>
      </c>
    </row>
    <row r="254" spans="1:10" x14ac:dyDescent="0.45">
      <c r="A254" t="s">
        <v>712</v>
      </c>
      <c r="B254" t="s">
        <v>2541</v>
      </c>
      <c r="C254" t="s">
        <v>2302</v>
      </c>
      <c r="D254" t="s">
        <v>2349</v>
      </c>
      <c r="E254" t="s">
        <v>2350</v>
      </c>
      <c r="F254" t="s">
        <v>2322</v>
      </c>
      <c r="G254" s="2">
        <v>45009</v>
      </c>
      <c r="H254" s="5">
        <v>100000</v>
      </c>
      <c r="I254" t="s">
        <v>2293</v>
      </c>
      <c r="J254" t="s">
        <v>2294</v>
      </c>
    </row>
    <row r="255" spans="1:10" x14ac:dyDescent="0.45">
      <c r="A255" t="s">
        <v>1736</v>
      </c>
      <c r="B255" t="s">
        <v>2542</v>
      </c>
      <c r="C255" t="s">
        <v>2340</v>
      </c>
      <c r="D255" t="s">
        <v>2372</v>
      </c>
      <c r="E255" t="s">
        <v>2373</v>
      </c>
      <c r="F255" t="s">
        <v>2318</v>
      </c>
      <c r="G255" s="2">
        <v>45302</v>
      </c>
      <c r="H255" s="5">
        <v>50000</v>
      </c>
      <c r="I255" t="s">
        <v>2299</v>
      </c>
      <c r="J255" t="s">
        <v>2294</v>
      </c>
    </row>
    <row r="256" spans="1:10" x14ac:dyDescent="0.45">
      <c r="A256" t="s">
        <v>727</v>
      </c>
      <c r="B256" t="s">
        <v>2543</v>
      </c>
      <c r="C256" t="s">
        <v>2289</v>
      </c>
      <c r="D256" t="s">
        <v>2307</v>
      </c>
      <c r="E256" t="s">
        <v>2308</v>
      </c>
      <c r="F256" t="s">
        <v>2309</v>
      </c>
      <c r="G256" s="2">
        <v>45661</v>
      </c>
      <c r="H256" s="5">
        <v>100000</v>
      </c>
      <c r="I256" t="s">
        <v>2310</v>
      </c>
      <c r="J256" t="s">
        <v>2294</v>
      </c>
    </row>
    <row r="257" spans="1:10" x14ac:dyDescent="0.45">
      <c r="A257" t="s">
        <v>294</v>
      </c>
      <c r="B257" t="s">
        <v>2544</v>
      </c>
      <c r="C257" t="s">
        <v>2302</v>
      </c>
      <c r="D257" t="s">
        <v>2355</v>
      </c>
      <c r="E257" t="s">
        <v>2356</v>
      </c>
      <c r="F257" t="s">
        <v>2322</v>
      </c>
      <c r="G257" s="2">
        <v>45563</v>
      </c>
      <c r="H257" s="5">
        <v>50000</v>
      </c>
      <c r="I257" t="s">
        <v>2293</v>
      </c>
      <c r="J257" t="s">
        <v>2294</v>
      </c>
    </row>
    <row r="258" spans="1:10" x14ac:dyDescent="0.45">
      <c r="A258" t="s">
        <v>704</v>
      </c>
      <c r="B258" t="s">
        <v>2353</v>
      </c>
      <c r="C258" t="s">
        <v>2340</v>
      </c>
      <c r="D258" t="s">
        <v>2316</v>
      </c>
      <c r="E258" t="s">
        <v>2317</v>
      </c>
      <c r="F258" t="s">
        <v>2318</v>
      </c>
      <c r="G258" s="2">
        <v>45497</v>
      </c>
      <c r="H258" s="5">
        <v>500000</v>
      </c>
      <c r="I258" t="s">
        <v>2310</v>
      </c>
      <c r="J258" t="s">
        <v>2294</v>
      </c>
    </row>
    <row r="259" spans="1:10" x14ac:dyDescent="0.45">
      <c r="A259" t="s">
        <v>193</v>
      </c>
      <c r="B259" t="s">
        <v>2458</v>
      </c>
      <c r="C259" t="s">
        <v>2289</v>
      </c>
      <c r="D259" t="s">
        <v>2363</v>
      </c>
      <c r="E259" t="s">
        <v>2364</v>
      </c>
      <c r="F259" t="s">
        <v>2298</v>
      </c>
      <c r="G259" s="2">
        <v>44568</v>
      </c>
      <c r="H259" s="5">
        <v>750000</v>
      </c>
      <c r="I259" t="s">
        <v>2310</v>
      </c>
      <c r="J259" t="s">
        <v>2294</v>
      </c>
    </row>
    <row r="260" spans="1:10" x14ac:dyDescent="0.45">
      <c r="A260" t="s">
        <v>229</v>
      </c>
      <c r="B260" t="s">
        <v>2545</v>
      </c>
      <c r="C260" t="s">
        <v>2340</v>
      </c>
      <c r="D260" t="s">
        <v>2320</v>
      </c>
      <c r="E260" t="s">
        <v>2321</v>
      </c>
      <c r="F260" t="s">
        <v>2322</v>
      </c>
      <c r="G260" s="2">
        <v>44685</v>
      </c>
      <c r="H260" s="5">
        <v>50000</v>
      </c>
      <c r="I260" t="s">
        <v>2299</v>
      </c>
      <c r="J260" t="s">
        <v>2294</v>
      </c>
    </row>
    <row r="261" spans="1:10" x14ac:dyDescent="0.45">
      <c r="A261" t="s">
        <v>269</v>
      </c>
      <c r="B261" t="s">
        <v>2382</v>
      </c>
      <c r="C261" t="s">
        <v>2302</v>
      </c>
      <c r="D261" t="s">
        <v>2363</v>
      </c>
      <c r="E261" t="s">
        <v>2364</v>
      </c>
      <c r="F261" t="s">
        <v>2298</v>
      </c>
      <c r="G261" s="2">
        <v>45875</v>
      </c>
      <c r="H261" s="5">
        <v>750000</v>
      </c>
      <c r="I261" t="s">
        <v>2305</v>
      </c>
      <c r="J261" t="s">
        <v>2294</v>
      </c>
    </row>
    <row r="262" spans="1:10" x14ac:dyDescent="0.45">
      <c r="A262" t="s">
        <v>2546</v>
      </c>
      <c r="B262" t="s">
        <v>2547</v>
      </c>
      <c r="C262" t="s">
        <v>2289</v>
      </c>
      <c r="D262" t="s">
        <v>2336</v>
      </c>
      <c r="E262" t="s">
        <v>2337</v>
      </c>
      <c r="F262" t="s">
        <v>2322</v>
      </c>
      <c r="G262" s="2">
        <v>45960</v>
      </c>
      <c r="H262" s="5">
        <v>750000</v>
      </c>
      <c r="I262" t="s">
        <v>2293</v>
      </c>
      <c r="J262" t="s">
        <v>2294</v>
      </c>
    </row>
    <row r="263" spans="1:10" x14ac:dyDescent="0.45">
      <c r="A263" t="s">
        <v>666</v>
      </c>
      <c r="B263" t="s">
        <v>2548</v>
      </c>
      <c r="C263" t="s">
        <v>2302</v>
      </c>
      <c r="D263" t="s">
        <v>2376</v>
      </c>
      <c r="E263" t="s">
        <v>2377</v>
      </c>
      <c r="F263" t="s">
        <v>2298</v>
      </c>
      <c r="G263" s="2">
        <v>45366</v>
      </c>
      <c r="H263" s="5">
        <v>500000</v>
      </c>
      <c r="I263" t="s">
        <v>2310</v>
      </c>
      <c r="J263" t="s">
        <v>2325</v>
      </c>
    </row>
    <row r="264" spans="1:10" x14ac:dyDescent="0.45">
      <c r="A264" t="s">
        <v>546</v>
      </c>
      <c r="B264" t="s">
        <v>2549</v>
      </c>
      <c r="C264" t="s">
        <v>2302</v>
      </c>
      <c r="D264" t="s">
        <v>2386</v>
      </c>
      <c r="E264" t="s">
        <v>2386</v>
      </c>
      <c r="F264" t="s">
        <v>2318</v>
      </c>
      <c r="G264" s="2">
        <v>45510</v>
      </c>
      <c r="H264" s="5">
        <v>750000</v>
      </c>
      <c r="I264" t="s">
        <v>2293</v>
      </c>
      <c r="J264" t="s">
        <v>2294</v>
      </c>
    </row>
    <row r="265" spans="1:10" x14ac:dyDescent="0.45">
      <c r="A265" t="s">
        <v>749</v>
      </c>
      <c r="B265" t="s">
        <v>2550</v>
      </c>
      <c r="C265" t="s">
        <v>2289</v>
      </c>
      <c r="D265" t="s">
        <v>2336</v>
      </c>
      <c r="E265" t="s">
        <v>2337</v>
      </c>
      <c r="F265" t="s">
        <v>2322</v>
      </c>
      <c r="G265" s="2">
        <v>45270</v>
      </c>
      <c r="H265" s="5">
        <v>100000</v>
      </c>
      <c r="I265" t="s">
        <v>2310</v>
      </c>
      <c r="J265" t="s">
        <v>2325</v>
      </c>
    </row>
    <row r="266" spans="1:10" x14ac:dyDescent="0.45">
      <c r="A266" t="s">
        <v>138</v>
      </c>
      <c r="B266" t="s">
        <v>2551</v>
      </c>
      <c r="C266" t="s">
        <v>2340</v>
      </c>
      <c r="D266" t="s">
        <v>2341</v>
      </c>
      <c r="E266" t="s">
        <v>2341</v>
      </c>
      <c r="F266" t="s">
        <v>2318</v>
      </c>
      <c r="G266" s="2">
        <v>44594</v>
      </c>
      <c r="H266" s="5">
        <v>100000</v>
      </c>
      <c r="I266" t="s">
        <v>2310</v>
      </c>
      <c r="J266" t="s">
        <v>2294</v>
      </c>
    </row>
    <row r="267" spans="1:10" x14ac:dyDescent="0.45">
      <c r="A267" t="s">
        <v>1690</v>
      </c>
      <c r="B267" t="s">
        <v>2494</v>
      </c>
      <c r="C267" t="s">
        <v>2289</v>
      </c>
      <c r="D267" t="s">
        <v>2316</v>
      </c>
      <c r="E267" t="s">
        <v>2317</v>
      </c>
      <c r="F267" t="s">
        <v>2318</v>
      </c>
      <c r="G267" s="2">
        <v>44652</v>
      </c>
      <c r="H267" s="5">
        <v>250000</v>
      </c>
      <c r="I267" t="s">
        <v>2305</v>
      </c>
      <c r="J267" t="s">
        <v>2294</v>
      </c>
    </row>
    <row r="268" spans="1:10" x14ac:dyDescent="0.45">
      <c r="A268" t="s">
        <v>204</v>
      </c>
      <c r="B268" t="s">
        <v>2552</v>
      </c>
      <c r="C268" t="s">
        <v>2302</v>
      </c>
      <c r="D268" t="s">
        <v>2316</v>
      </c>
      <c r="E268" t="s">
        <v>2317</v>
      </c>
      <c r="F268" t="s">
        <v>2318</v>
      </c>
      <c r="G268" s="2">
        <v>45041</v>
      </c>
      <c r="H268" s="5">
        <v>750000</v>
      </c>
      <c r="I268" t="s">
        <v>2305</v>
      </c>
      <c r="J268" t="s">
        <v>2294</v>
      </c>
    </row>
    <row r="269" spans="1:10" x14ac:dyDescent="0.45">
      <c r="A269" t="s">
        <v>96</v>
      </c>
      <c r="B269" t="s">
        <v>2553</v>
      </c>
      <c r="C269" t="s">
        <v>2302</v>
      </c>
      <c r="D269" t="s">
        <v>2296</v>
      </c>
      <c r="E269" t="s">
        <v>2297</v>
      </c>
      <c r="F269" t="s">
        <v>2298</v>
      </c>
      <c r="G269" s="2">
        <v>45914</v>
      </c>
      <c r="H269" s="5">
        <v>500000</v>
      </c>
      <c r="I269" t="s">
        <v>2310</v>
      </c>
      <c r="J269" t="s">
        <v>2294</v>
      </c>
    </row>
    <row r="270" spans="1:10" x14ac:dyDescent="0.45">
      <c r="A270" t="s">
        <v>1128</v>
      </c>
      <c r="B270" t="s">
        <v>2554</v>
      </c>
      <c r="C270" t="s">
        <v>2340</v>
      </c>
      <c r="D270" t="s">
        <v>2316</v>
      </c>
      <c r="E270" t="s">
        <v>2317</v>
      </c>
      <c r="F270" t="s">
        <v>2318</v>
      </c>
      <c r="G270" s="2">
        <v>45436</v>
      </c>
      <c r="H270" s="5">
        <v>500000</v>
      </c>
      <c r="I270" t="s">
        <v>2305</v>
      </c>
      <c r="J270" t="s">
        <v>2325</v>
      </c>
    </row>
    <row r="271" spans="1:10" x14ac:dyDescent="0.45">
      <c r="A271" t="s">
        <v>823</v>
      </c>
      <c r="B271" t="s">
        <v>2555</v>
      </c>
      <c r="C271" t="s">
        <v>2289</v>
      </c>
      <c r="D271" t="s">
        <v>2336</v>
      </c>
      <c r="E271" t="s">
        <v>2337</v>
      </c>
      <c r="F271" t="s">
        <v>2322</v>
      </c>
      <c r="G271" s="2">
        <v>45414</v>
      </c>
      <c r="H271" s="5">
        <v>250000</v>
      </c>
      <c r="I271" t="s">
        <v>2310</v>
      </c>
      <c r="J271" t="s">
        <v>2294</v>
      </c>
    </row>
    <row r="272" spans="1:10" x14ac:dyDescent="0.45">
      <c r="A272" t="s">
        <v>1667</v>
      </c>
      <c r="B272" t="s">
        <v>2556</v>
      </c>
      <c r="C272" t="s">
        <v>2302</v>
      </c>
      <c r="D272" t="s">
        <v>2307</v>
      </c>
      <c r="E272" t="s">
        <v>2308</v>
      </c>
      <c r="F272" t="s">
        <v>2309</v>
      </c>
      <c r="G272" s="2">
        <v>45177</v>
      </c>
      <c r="H272" s="5">
        <v>750000</v>
      </c>
      <c r="I272" t="s">
        <v>2310</v>
      </c>
      <c r="J272" t="s">
        <v>2294</v>
      </c>
    </row>
    <row r="273" spans="1:10" x14ac:dyDescent="0.45">
      <c r="A273" t="s">
        <v>1660</v>
      </c>
      <c r="B273" t="s">
        <v>2410</v>
      </c>
      <c r="C273" t="s">
        <v>2302</v>
      </c>
      <c r="D273" t="s">
        <v>2316</v>
      </c>
      <c r="E273" t="s">
        <v>2317</v>
      </c>
      <c r="F273" t="s">
        <v>2318</v>
      </c>
      <c r="G273" s="2">
        <v>45703</v>
      </c>
      <c r="H273" s="5">
        <v>500000</v>
      </c>
      <c r="I273" t="s">
        <v>2310</v>
      </c>
      <c r="J273" t="s">
        <v>2294</v>
      </c>
    </row>
    <row r="274" spans="1:10" x14ac:dyDescent="0.45">
      <c r="A274" t="s">
        <v>232</v>
      </c>
      <c r="B274" t="s">
        <v>2557</v>
      </c>
      <c r="C274" t="s">
        <v>2302</v>
      </c>
      <c r="D274" t="s">
        <v>2290</v>
      </c>
      <c r="E274" t="s">
        <v>2291</v>
      </c>
      <c r="F274" t="s">
        <v>2292</v>
      </c>
      <c r="G274" s="2">
        <v>45321</v>
      </c>
      <c r="H274" s="5">
        <v>50000</v>
      </c>
      <c r="I274" t="s">
        <v>2305</v>
      </c>
      <c r="J274" t="s">
        <v>2294</v>
      </c>
    </row>
    <row r="275" spans="1:10" x14ac:dyDescent="0.45">
      <c r="A275" t="s">
        <v>338</v>
      </c>
      <c r="B275" t="s">
        <v>2558</v>
      </c>
      <c r="C275" t="s">
        <v>2340</v>
      </c>
      <c r="D275" t="s">
        <v>2316</v>
      </c>
      <c r="E275" t="s">
        <v>2317</v>
      </c>
      <c r="F275" t="s">
        <v>2318</v>
      </c>
      <c r="G275" s="2">
        <v>45796</v>
      </c>
      <c r="H275" s="5">
        <v>50000</v>
      </c>
      <c r="I275" t="s">
        <v>2293</v>
      </c>
      <c r="J275" t="s">
        <v>2294</v>
      </c>
    </row>
    <row r="276" spans="1:10" x14ac:dyDescent="0.45">
      <c r="A276" t="s">
        <v>482</v>
      </c>
      <c r="B276" t="s">
        <v>2559</v>
      </c>
      <c r="C276" t="s">
        <v>2289</v>
      </c>
      <c r="D276" t="s">
        <v>2324</v>
      </c>
      <c r="E276" t="s">
        <v>2304</v>
      </c>
      <c r="F276" t="s">
        <v>2309</v>
      </c>
      <c r="G276" s="2">
        <v>44989</v>
      </c>
      <c r="H276" s="5">
        <v>150000</v>
      </c>
      <c r="I276" t="s">
        <v>2310</v>
      </c>
      <c r="J276" t="s">
        <v>2294</v>
      </c>
    </row>
    <row r="277" spans="1:10" x14ac:dyDescent="0.45">
      <c r="A277" t="s">
        <v>1995</v>
      </c>
      <c r="B277" t="s">
        <v>2560</v>
      </c>
      <c r="C277" t="s">
        <v>2302</v>
      </c>
      <c r="D277" t="s">
        <v>2290</v>
      </c>
      <c r="E277" t="s">
        <v>2291</v>
      </c>
      <c r="F277" t="s">
        <v>2292</v>
      </c>
      <c r="G277" s="2">
        <v>44802</v>
      </c>
      <c r="H277" s="5">
        <v>750000</v>
      </c>
      <c r="I277" t="s">
        <v>2299</v>
      </c>
      <c r="J277" t="s">
        <v>2294</v>
      </c>
    </row>
    <row r="278" spans="1:10" x14ac:dyDescent="0.45">
      <c r="A278" t="s">
        <v>289</v>
      </c>
      <c r="B278" t="s">
        <v>2561</v>
      </c>
      <c r="C278" t="s">
        <v>2289</v>
      </c>
      <c r="D278" t="s">
        <v>2330</v>
      </c>
      <c r="E278" t="s">
        <v>2291</v>
      </c>
      <c r="F278" t="s">
        <v>2292</v>
      </c>
      <c r="G278" s="2">
        <v>45052</v>
      </c>
      <c r="H278" s="5">
        <v>500000</v>
      </c>
      <c r="I278" t="s">
        <v>2310</v>
      </c>
      <c r="J278" t="s">
        <v>2294</v>
      </c>
    </row>
    <row r="279" spans="1:10" x14ac:dyDescent="0.45">
      <c r="A279" t="s">
        <v>103</v>
      </c>
      <c r="B279" t="s">
        <v>2439</v>
      </c>
      <c r="C279" t="s">
        <v>2289</v>
      </c>
      <c r="D279" t="s">
        <v>2355</v>
      </c>
      <c r="E279" t="s">
        <v>2356</v>
      </c>
      <c r="F279" t="s">
        <v>2322</v>
      </c>
      <c r="G279" s="2">
        <v>45298</v>
      </c>
      <c r="H279" s="5">
        <v>500000</v>
      </c>
      <c r="I279" t="s">
        <v>2293</v>
      </c>
      <c r="J279" t="s">
        <v>2294</v>
      </c>
    </row>
    <row r="280" spans="1:10" x14ac:dyDescent="0.45">
      <c r="A280" t="s">
        <v>2085</v>
      </c>
      <c r="B280" t="s">
        <v>2472</v>
      </c>
      <c r="C280" t="s">
        <v>2302</v>
      </c>
      <c r="D280" t="s">
        <v>2349</v>
      </c>
      <c r="E280" t="s">
        <v>2350</v>
      </c>
      <c r="F280" t="s">
        <v>2322</v>
      </c>
      <c r="G280" s="2">
        <v>45321</v>
      </c>
      <c r="H280" s="5">
        <v>150000</v>
      </c>
      <c r="I280" t="s">
        <v>2305</v>
      </c>
      <c r="J280" t="s">
        <v>2294</v>
      </c>
    </row>
    <row r="281" spans="1:10" x14ac:dyDescent="0.45">
      <c r="A281" t="s">
        <v>113</v>
      </c>
      <c r="B281" t="s">
        <v>2562</v>
      </c>
      <c r="C281" t="s">
        <v>2289</v>
      </c>
      <c r="D281" t="s">
        <v>2330</v>
      </c>
      <c r="E281" t="s">
        <v>2291</v>
      </c>
      <c r="F281" t="s">
        <v>2292</v>
      </c>
      <c r="G281" s="2">
        <v>45695</v>
      </c>
      <c r="H281" s="5">
        <v>500000</v>
      </c>
      <c r="I281" t="s">
        <v>2305</v>
      </c>
      <c r="J281" t="s">
        <v>2294</v>
      </c>
    </row>
    <row r="282" spans="1:10" x14ac:dyDescent="0.45">
      <c r="A282" t="s">
        <v>87</v>
      </c>
      <c r="B282" t="s">
        <v>2563</v>
      </c>
      <c r="C282" t="s">
        <v>2289</v>
      </c>
      <c r="D282" t="s">
        <v>2383</v>
      </c>
      <c r="E282" t="s">
        <v>2304</v>
      </c>
      <c r="F282" t="s">
        <v>2292</v>
      </c>
      <c r="G282" s="2">
        <v>45728</v>
      </c>
      <c r="H282" s="5">
        <v>100000</v>
      </c>
      <c r="I282" t="s">
        <v>2305</v>
      </c>
      <c r="J282" t="s">
        <v>2294</v>
      </c>
    </row>
    <row r="283" spans="1:10" x14ac:dyDescent="0.45">
      <c r="A283" t="s">
        <v>379</v>
      </c>
      <c r="B283" t="s">
        <v>2394</v>
      </c>
      <c r="C283" t="s">
        <v>2302</v>
      </c>
      <c r="D283" t="s">
        <v>2296</v>
      </c>
      <c r="E283" t="s">
        <v>2297</v>
      </c>
      <c r="F283" t="s">
        <v>2298</v>
      </c>
      <c r="G283" s="2">
        <v>45876</v>
      </c>
      <c r="H283" s="5">
        <v>750000</v>
      </c>
      <c r="I283" t="s">
        <v>2305</v>
      </c>
      <c r="J283" t="s">
        <v>2294</v>
      </c>
    </row>
    <row r="284" spans="1:10" x14ac:dyDescent="0.45">
      <c r="A284" t="s">
        <v>2564</v>
      </c>
      <c r="B284" t="s">
        <v>2466</v>
      </c>
      <c r="C284" t="s">
        <v>2302</v>
      </c>
      <c r="D284" t="s">
        <v>2376</v>
      </c>
      <c r="E284" t="s">
        <v>2377</v>
      </c>
      <c r="F284" t="s">
        <v>2298</v>
      </c>
      <c r="G284" s="2">
        <v>45562</v>
      </c>
      <c r="H284" s="5">
        <v>100000</v>
      </c>
      <c r="I284" t="s">
        <v>2299</v>
      </c>
      <c r="J284" t="s">
        <v>2294</v>
      </c>
    </row>
    <row r="285" spans="1:10" x14ac:dyDescent="0.45">
      <c r="A285" t="s">
        <v>622</v>
      </c>
      <c r="B285" t="s">
        <v>2565</v>
      </c>
      <c r="C285" t="s">
        <v>2302</v>
      </c>
      <c r="D285" t="s">
        <v>2316</v>
      </c>
      <c r="E285" t="s">
        <v>2317</v>
      </c>
      <c r="F285" t="s">
        <v>2318</v>
      </c>
      <c r="G285" s="2">
        <v>44714</v>
      </c>
      <c r="H285" s="5">
        <v>750000</v>
      </c>
      <c r="I285" t="s">
        <v>2310</v>
      </c>
      <c r="J285" t="s">
        <v>2294</v>
      </c>
    </row>
    <row r="286" spans="1:10" x14ac:dyDescent="0.45">
      <c r="A286" t="s">
        <v>166</v>
      </c>
      <c r="B286" t="s">
        <v>2550</v>
      </c>
      <c r="C286" t="s">
        <v>2289</v>
      </c>
      <c r="D286" t="s">
        <v>2383</v>
      </c>
      <c r="E286" t="s">
        <v>2304</v>
      </c>
      <c r="F286" t="s">
        <v>2292</v>
      </c>
      <c r="G286" s="2">
        <v>44871</v>
      </c>
      <c r="H286" s="5">
        <v>50000</v>
      </c>
      <c r="I286" t="s">
        <v>2310</v>
      </c>
      <c r="J286" t="s">
        <v>2294</v>
      </c>
    </row>
    <row r="287" spans="1:10" x14ac:dyDescent="0.45">
      <c r="A287" t="s">
        <v>33</v>
      </c>
      <c r="B287" t="s">
        <v>2523</v>
      </c>
      <c r="C287" t="s">
        <v>2340</v>
      </c>
      <c r="D287" t="s">
        <v>2316</v>
      </c>
      <c r="E287" t="s">
        <v>2317</v>
      </c>
      <c r="F287" t="s">
        <v>2318</v>
      </c>
      <c r="G287" s="2">
        <v>44594</v>
      </c>
      <c r="H287" s="5">
        <v>50000</v>
      </c>
      <c r="I287" t="s">
        <v>2305</v>
      </c>
      <c r="J287" t="s">
        <v>2294</v>
      </c>
    </row>
    <row r="288" spans="1:10" x14ac:dyDescent="0.45">
      <c r="A288" t="s">
        <v>878</v>
      </c>
      <c r="B288" t="s">
        <v>2300</v>
      </c>
      <c r="C288" t="s">
        <v>2340</v>
      </c>
      <c r="D288" t="s">
        <v>2386</v>
      </c>
      <c r="E288" t="s">
        <v>2386</v>
      </c>
      <c r="F288" t="s">
        <v>2318</v>
      </c>
      <c r="G288" s="2">
        <v>45149</v>
      </c>
      <c r="H288" s="5">
        <v>50000</v>
      </c>
      <c r="I288" t="s">
        <v>2305</v>
      </c>
      <c r="J288" t="s">
        <v>2294</v>
      </c>
    </row>
    <row r="289" spans="1:10" x14ac:dyDescent="0.45">
      <c r="A289" t="s">
        <v>1445</v>
      </c>
      <c r="B289" t="s">
        <v>2566</v>
      </c>
      <c r="C289" t="s">
        <v>2289</v>
      </c>
      <c r="D289" t="s">
        <v>2320</v>
      </c>
      <c r="E289" t="s">
        <v>2321</v>
      </c>
      <c r="F289" t="s">
        <v>2322</v>
      </c>
      <c r="G289" s="2">
        <v>44759</v>
      </c>
      <c r="H289" s="5">
        <v>500000</v>
      </c>
      <c r="I289" t="s">
        <v>2310</v>
      </c>
      <c r="J289" t="s">
        <v>2294</v>
      </c>
    </row>
    <row r="290" spans="1:10" x14ac:dyDescent="0.45">
      <c r="A290" t="s">
        <v>384</v>
      </c>
      <c r="B290" t="s">
        <v>2567</v>
      </c>
      <c r="C290" t="s">
        <v>2289</v>
      </c>
      <c r="D290" t="s">
        <v>2432</v>
      </c>
      <c r="E290" t="s">
        <v>2308</v>
      </c>
      <c r="F290" t="s">
        <v>2309</v>
      </c>
      <c r="G290" s="2">
        <v>45374</v>
      </c>
      <c r="H290" s="5">
        <v>50000</v>
      </c>
      <c r="I290" t="s">
        <v>2305</v>
      </c>
      <c r="J290" t="s">
        <v>2294</v>
      </c>
    </row>
    <row r="291" spans="1:10" x14ac:dyDescent="0.45">
      <c r="A291" t="s">
        <v>432</v>
      </c>
      <c r="B291" t="s">
        <v>2529</v>
      </c>
      <c r="C291" t="s">
        <v>2289</v>
      </c>
      <c r="D291" t="s">
        <v>2324</v>
      </c>
      <c r="E291" t="s">
        <v>2304</v>
      </c>
      <c r="F291" t="s">
        <v>2309</v>
      </c>
      <c r="G291" s="2">
        <v>44727</v>
      </c>
      <c r="H291" s="5">
        <v>750000</v>
      </c>
      <c r="I291" t="s">
        <v>2299</v>
      </c>
      <c r="J291" t="s">
        <v>2294</v>
      </c>
    </row>
    <row r="292" spans="1:10" x14ac:dyDescent="0.45">
      <c r="A292" t="s">
        <v>1200</v>
      </c>
      <c r="B292" t="s">
        <v>2422</v>
      </c>
      <c r="C292" t="s">
        <v>2289</v>
      </c>
      <c r="D292" t="s">
        <v>2316</v>
      </c>
      <c r="E292" t="s">
        <v>2317</v>
      </c>
      <c r="F292" t="s">
        <v>2318</v>
      </c>
      <c r="G292" s="2">
        <v>45693</v>
      </c>
      <c r="H292" s="5">
        <v>250000</v>
      </c>
      <c r="I292" t="s">
        <v>2310</v>
      </c>
      <c r="J292" t="s">
        <v>2294</v>
      </c>
    </row>
    <row r="293" spans="1:10" x14ac:dyDescent="0.45">
      <c r="A293" t="s">
        <v>916</v>
      </c>
      <c r="B293" t="s">
        <v>2407</v>
      </c>
      <c r="C293" t="s">
        <v>2302</v>
      </c>
      <c r="D293" t="s">
        <v>2303</v>
      </c>
      <c r="E293" t="s">
        <v>2304</v>
      </c>
      <c r="F293" t="s">
        <v>2292</v>
      </c>
      <c r="G293" s="2">
        <v>45882</v>
      </c>
      <c r="H293" s="5">
        <v>150000</v>
      </c>
      <c r="I293" t="s">
        <v>2305</v>
      </c>
      <c r="J293" t="s">
        <v>2294</v>
      </c>
    </row>
    <row r="294" spans="1:10" x14ac:dyDescent="0.45">
      <c r="A294" t="s">
        <v>759</v>
      </c>
      <c r="B294" t="s">
        <v>2543</v>
      </c>
      <c r="C294" t="s">
        <v>2302</v>
      </c>
      <c r="D294" t="s">
        <v>2341</v>
      </c>
      <c r="E294" t="s">
        <v>2341</v>
      </c>
      <c r="F294" t="s">
        <v>2318</v>
      </c>
      <c r="G294" s="2">
        <v>45032</v>
      </c>
      <c r="H294" s="5">
        <v>100000</v>
      </c>
      <c r="I294" t="s">
        <v>2299</v>
      </c>
      <c r="J294" t="s">
        <v>2294</v>
      </c>
    </row>
    <row r="295" spans="1:10" x14ac:dyDescent="0.45">
      <c r="A295" t="s">
        <v>549</v>
      </c>
      <c r="B295" t="s">
        <v>2568</v>
      </c>
      <c r="C295" t="s">
        <v>2289</v>
      </c>
      <c r="D295" t="s">
        <v>2324</v>
      </c>
      <c r="E295" t="s">
        <v>2304</v>
      </c>
      <c r="F295" t="s">
        <v>2309</v>
      </c>
      <c r="G295" s="2">
        <v>44714</v>
      </c>
      <c r="H295" s="5">
        <v>750000</v>
      </c>
      <c r="I295" t="s">
        <v>2299</v>
      </c>
      <c r="J295" t="s">
        <v>2294</v>
      </c>
    </row>
    <row r="296" spans="1:10" x14ac:dyDescent="0.45">
      <c r="A296" t="s">
        <v>150</v>
      </c>
      <c r="B296" t="s">
        <v>2569</v>
      </c>
      <c r="C296" t="s">
        <v>2289</v>
      </c>
      <c r="D296" t="s">
        <v>2324</v>
      </c>
      <c r="E296" t="s">
        <v>2304</v>
      </c>
      <c r="F296" t="s">
        <v>2309</v>
      </c>
      <c r="G296" s="2">
        <v>45206</v>
      </c>
      <c r="H296" s="5">
        <v>50000</v>
      </c>
      <c r="I296" t="s">
        <v>2299</v>
      </c>
      <c r="J296" t="s">
        <v>2294</v>
      </c>
    </row>
    <row r="297" spans="1:10" x14ac:dyDescent="0.45">
      <c r="A297" t="s">
        <v>526</v>
      </c>
      <c r="B297" t="s">
        <v>2295</v>
      </c>
      <c r="C297" t="s">
        <v>2289</v>
      </c>
      <c r="D297" t="s">
        <v>2336</v>
      </c>
      <c r="E297" t="s">
        <v>2337</v>
      </c>
      <c r="F297" t="s">
        <v>2322</v>
      </c>
      <c r="G297" s="2">
        <v>45716</v>
      </c>
      <c r="H297" s="5">
        <v>100000</v>
      </c>
      <c r="I297" t="s">
        <v>2305</v>
      </c>
      <c r="J297" t="s">
        <v>2294</v>
      </c>
    </row>
    <row r="298" spans="1:10" x14ac:dyDescent="0.45">
      <c r="A298" t="s">
        <v>689</v>
      </c>
      <c r="B298" t="s">
        <v>2570</v>
      </c>
      <c r="C298" t="s">
        <v>2302</v>
      </c>
      <c r="D298" t="s">
        <v>2307</v>
      </c>
      <c r="E298" t="s">
        <v>2308</v>
      </c>
      <c r="F298" t="s">
        <v>2309</v>
      </c>
      <c r="G298" s="2">
        <v>44848</v>
      </c>
      <c r="H298" s="5">
        <v>750000</v>
      </c>
      <c r="I298" t="s">
        <v>2293</v>
      </c>
      <c r="J298" t="s">
        <v>2294</v>
      </c>
    </row>
    <row r="299" spans="1:10" x14ac:dyDescent="0.45">
      <c r="A299" t="s">
        <v>597</v>
      </c>
      <c r="B299" t="s">
        <v>2538</v>
      </c>
      <c r="C299" t="s">
        <v>2289</v>
      </c>
      <c r="D299" t="s">
        <v>2376</v>
      </c>
      <c r="E299" t="s">
        <v>2377</v>
      </c>
      <c r="F299" t="s">
        <v>2298</v>
      </c>
      <c r="G299" s="2">
        <v>44717</v>
      </c>
      <c r="H299" s="5">
        <v>150000</v>
      </c>
      <c r="I299" t="s">
        <v>2305</v>
      </c>
      <c r="J299" t="s">
        <v>2294</v>
      </c>
    </row>
    <row r="300" spans="1:10" x14ac:dyDescent="0.45">
      <c r="A300" t="s">
        <v>93</v>
      </c>
      <c r="B300" t="s">
        <v>2370</v>
      </c>
      <c r="C300" t="s">
        <v>2289</v>
      </c>
      <c r="D300" t="s">
        <v>2366</v>
      </c>
      <c r="E300" t="s">
        <v>2367</v>
      </c>
      <c r="F300" t="s">
        <v>2309</v>
      </c>
      <c r="G300" s="2">
        <v>45121</v>
      </c>
      <c r="H300" s="5">
        <v>250000</v>
      </c>
      <c r="I300" t="s">
        <v>2305</v>
      </c>
      <c r="J300" t="s">
        <v>2294</v>
      </c>
    </row>
    <row r="301" spans="1:10" x14ac:dyDescent="0.45">
      <c r="A301" t="s">
        <v>120</v>
      </c>
      <c r="B301" t="s">
        <v>2382</v>
      </c>
      <c r="C301" t="s">
        <v>2340</v>
      </c>
      <c r="D301" t="s">
        <v>2336</v>
      </c>
      <c r="E301" t="s">
        <v>2337</v>
      </c>
      <c r="F301" t="s">
        <v>2322</v>
      </c>
      <c r="G301" s="2">
        <v>45915</v>
      </c>
      <c r="H301" s="5">
        <v>250000</v>
      </c>
      <c r="I301" t="s">
        <v>2310</v>
      </c>
      <c r="J301" t="s">
        <v>2294</v>
      </c>
    </row>
    <row r="302" spans="1:10" x14ac:dyDescent="0.45">
      <c r="A302" t="s">
        <v>672</v>
      </c>
      <c r="B302" t="s">
        <v>2475</v>
      </c>
      <c r="C302" t="s">
        <v>2289</v>
      </c>
      <c r="D302" t="s">
        <v>2330</v>
      </c>
      <c r="E302" t="s">
        <v>2291</v>
      </c>
      <c r="F302" t="s">
        <v>2292</v>
      </c>
      <c r="G302" s="2">
        <v>44877</v>
      </c>
      <c r="H302" s="5">
        <v>250000</v>
      </c>
      <c r="I302" t="s">
        <v>2293</v>
      </c>
      <c r="J302" t="s">
        <v>2294</v>
      </c>
    </row>
    <row r="303" spans="1:10" x14ac:dyDescent="0.45">
      <c r="A303" t="s">
        <v>462</v>
      </c>
      <c r="B303" t="s">
        <v>2571</v>
      </c>
      <c r="C303" t="s">
        <v>2289</v>
      </c>
      <c r="D303" t="s">
        <v>2336</v>
      </c>
      <c r="E303" t="s">
        <v>2337</v>
      </c>
      <c r="F303" t="s">
        <v>2322</v>
      </c>
      <c r="G303" s="2">
        <v>44572</v>
      </c>
      <c r="H303" s="5">
        <v>150000</v>
      </c>
      <c r="I303" t="s">
        <v>2305</v>
      </c>
      <c r="J303" t="s">
        <v>2294</v>
      </c>
    </row>
    <row r="304" spans="1:10" x14ac:dyDescent="0.45">
      <c r="A304" t="s">
        <v>531</v>
      </c>
      <c r="B304" t="s">
        <v>2572</v>
      </c>
      <c r="C304" t="s">
        <v>2289</v>
      </c>
      <c r="D304" t="s">
        <v>2341</v>
      </c>
      <c r="E304" t="s">
        <v>2341</v>
      </c>
      <c r="F304" t="s">
        <v>2318</v>
      </c>
      <c r="G304" s="2">
        <v>45481</v>
      </c>
      <c r="H304" s="5">
        <v>500000</v>
      </c>
      <c r="I304" t="s">
        <v>2305</v>
      </c>
      <c r="J304" t="s">
        <v>2294</v>
      </c>
    </row>
    <row r="305" spans="1:10" x14ac:dyDescent="0.45">
      <c r="A305" t="s">
        <v>1903</v>
      </c>
      <c r="B305" t="s">
        <v>2484</v>
      </c>
      <c r="C305" t="s">
        <v>2340</v>
      </c>
      <c r="D305" t="s">
        <v>2386</v>
      </c>
      <c r="E305" t="s">
        <v>2386</v>
      </c>
      <c r="F305" t="s">
        <v>2318</v>
      </c>
      <c r="G305" s="2">
        <v>45784</v>
      </c>
      <c r="H305" s="5">
        <v>500000</v>
      </c>
      <c r="I305" t="s">
        <v>2293</v>
      </c>
      <c r="J305" t="s">
        <v>2294</v>
      </c>
    </row>
    <row r="306" spans="1:10" x14ac:dyDescent="0.45">
      <c r="A306" t="s">
        <v>496</v>
      </c>
      <c r="B306" t="s">
        <v>2573</v>
      </c>
      <c r="C306" t="s">
        <v>2289</v>
      </c>
      <c r="D306" t="s">
        <v>2386</v>
      </c>
      <c r="E306" t="s">
        <v>2386</v>
      </c>
      <c r="F306" t="s">
        <v>2318</v>
      </c>
      <c r="G306" s="2">
        <v>44735</v>
      </c>
      <c r="H306" s="5">
        <v>750000</v>
      </c>
      <c r="I306" t="s">
        <v>2299</v>
      </c>
      <c r="J306" t="s">
        <v>2294</v>
      </c>
    </row>
    <row r="307" spans="1:10" x14ac:dyDescent="0.45">
      <c r="A307" t="s">
        <v>227</v>
      </c>
      <c r="B307" t="s">
        <v>2574</v>
      </c>
      <c r="C307" t="s">
        <v>2289</v>
      </c>
      <c r="D307" t="s">
        <v>2330</v>
      </c>
      <c r="E307" t="s">
        <v>2291</v>
      </c>
      <c r="F307" t="s">
        <v>2292</v>
      </c>
      <c r="G307" s="2">
        <v>45341</v>
      </c>
      <c r="H307" s="5">
        <v>100000</v>
      </c>
      <c r="I307" t="s">
        <v>2310</v>
      </c>
      <c r="J307" t="s">
        <v>2294</v>
      </c>
    </row>
    <row r="308" spans="1:10" x14ac:dyDescent="0.45">
      <c r="A308" t="s">
        <v>687</v>
      </c>
      <c r="B308" t="s">
        <v>2572</v>
      </c>
      <c r="C308" t="s">
        <v>2289</v>
      </c>
      <c r="D308" t="s">
        <v>2349</v>
      </c>
      <c r="E308" t="s">
        <v>2350</v>
      </c>
      <c r="F308" t="s">
        <v>2322</v>
      </c>
      <c r="G308" s="2">
        <v>45127</v>
      </c>
      <c r="H308" s="5">
        <v>250000</v>
      </c>
      <c r="I308" t="s">
        <v>2310</v>
      </c>
      <c r="J308" t="s">
        <v>2294</v>
      </c>
    </row>
    <row r="309" spans="1:10" x14ac:dyDescent="0.45">
      <c r="A309" t="s">
        <v>788</v>
      </c>
      <c r="B309" t="s">
        <v>2391</v>
      </c>
      <c r="C309" t="s">
        <v>2302</v>
      </c>
      <c r="D309" t="s">
        <v>2376</v>
      </c>
      <c r="E309" t="s">
        <v>2377</v>
      </c>
      <c r="F309" t="s">
        <v>2298</v>
      </c>
      <c r="G309" s="2">
        <v>45577</v>
      </c>
      <c r="H309" s="5">
        <v>500000</v>
      </c>
      <c r="I309" t="s">
        <v>2305</v>
      </c>
      <c r="J309" t="s">
        <v>2294</v>
      </c>
    </row>
    <row r="310" spans="1:10" x14ac:dyDescent="0.45">
      <c r="A310" t="s">
        <v>396</v>
      </c>
      <c r="B310" t="s">
        <v>2575</v>
      </c>
      <c r="C310" t="s">
        <v>2302</v>
      </c>
      <c r="D310" t="s">
        <v>2383</v>
      </c>
      <c r="E310" t="s">
        <v>2304</v>
      </c>
      <c r="F310" t="s">
        <v>2292</v>
      </c>
      <c r="G310" s="2">
        <v>45242</v>
      </c>
      <c r="H310" s="5">
        <v>500000</v>
      </c>
      <c r="I310" t="s">
        <v>2305</v>
      </c>
      <c r="J310" t="s">
        <v>2294</v>
      </c>
    </row>
    <row r="311" spans="1:10" x14ac:dyDescent="0.45">
      <c r="A311" t="s">
        <v>1095</v>
      </c>
      <c r="B311" t="s">
        <v>2576</v>
      </c>
      <c r="C311" t="s">
        <v>2302</v>
      </c>
      <c r="D311" t="s">
        <v>2355</v>
      </c>
      <c r="E311" t="s">
        <v>2356</v>
      </c>
      <c r="F311" t="s">
        <v>2322</v>
      </c>
      <c r="G311" s="2">
        <v>45895</v>
      </c>
      <c r="H311" s="5">
        <v>500000</v>
      </c>
      <c r="I311" t="s">
        <v>2310</v>
      </c>
      <c r="J311" t="s">
        <v>2294</v>
      </c>
    </row>
    <row r="312" spans="1:10" x14ac:dyDescent="0.45">
      <c r="A312" t="s">
        <v>795</v>
      </c>
      <c r="B312" t="s">
        <v>2385</v>
      </c>
      <c r="C312" t="s">
        <v>2289</v>
      </c>
      <c r="D312" t="s">
        <v>2290</v>
      </c>
      <c r="E312" t="s">
        <v>2291</v>
      </c>
      <c r="F312" t="s">
        <v>2292</v>
      </c>
      <c r="G312" s="2">
        <v>45377</v>
      </c>
      <c r="H312" s="5">
        <v>150000</v>
      </c>
      <c r="I312" t="s">
        <v>2310</v>
      </c>
      <c r="J312" t="s">
        <v>2294</v>
      </c>
    </row>
    <row r="313" spans="1:10" x14ac:dyDescent="0.45">
      <c r="A313" t="s">
        <v>1489</v>
      </c>
      <c r="B313" t="s">
        <v>2577</v>
      </c>
      <c r="C313" t="s">
        <v>2289</v>
      </c>
      <c r="D313" t="s">
        <v>2349</v>
      </c>
      <c r="E313" t="s">
        <v>2350</v>
      </c>
      <c r="F313" t="s">
        <v>2322</v>
      </c>
      <c r="G313" s="2">
        <v>45136</v>
      </c>
      <c r="H313" s="5">
        <v>250000</v>
      </c>
      <c r="I313" t="s">
        <v>2305</v>
      </c>
      <c r="J313" t="s">
        <v>2325</v>
      </c>
    </row>
    <row r="314" spans="1:10" x14ac:dyDescent="0.45">
      <c r="A314" t="s">
        <v>616</v>
      </c>
      <c r="B314" t="s">
        <v>2578</v>
      </c>
      <c r="C314" t="s">
        <v>2289</v>
      </c>
      <c r="D314" t="s">
        <v>2290</v>
      </c>
      <c r="E314" t="s">
        <v>2291</v>
      </c>
      <c r="F314" t="s">
        <v>2292</v>
      </c>
      <c r="G314" s="2">
        <v>45688</v>
      </c>
      <c r="H314" s="5">
        <v>50000</v>
      </c>
      <c r="I314" t="s">
        <v>2299</v>
      </c>
      <c r="J314" t="s">
        <v>2294</v>
      </c>
    </row>
    <row r="315" spans="1:10" x14ac:dyDescent="0.45">
      <c r="A315" t="s">
        <v>18</v>
      </c>
      <c r="B315" t="s">
        <v>2579</v>
      </c>
      <c r="C315" t="s">
        <v>2302</v>
      </c>
      <c r="D315" t="s">
        <v>2290</v>
      </c>
      <c r="E315" t="s">
        <v>2291</v>
      </c>
      <c r="F315" t="s">
        <v>2292</v>
      </c>
      <c r="G315" s="2">
        <v>44703</v>
      </c>
      <c r="H315" s="5">
        <v>250000</v>
      </c>
      <c r="I315" t="s">
        <v>2293</v>
      </c>
      <c r="J315" t="s">
        <v>2294</v>
      </c>
    </row>
    <row r="316" spans="1:10" x14ac:dyDescent="0.45">
      <c r="A316" t="s">
        <v>1415</v>
      </c>
      <c r="B316" t="s">
        <v>2580</v>
      </c>
      <c r="C316" t="s">
        <v>2340</v>
      </c>
      <c r="D316" t="s">
        <v>2363</v>
      </c>
      <c r="E316" t="s">
        <v>2364</v>
      </c>
      <c r="F316" t="s">
        <v>2298</v>
      </c>
      <c r="G316" s="2">
        <v>45428</v>
      </c>
      <c r="H316" s="5">
        <v>250000</v>
      </c>
      <c r="I316" t="s">
        <v>2310</v>
      </c>
      <c r="J316" t="s">
        <v>2325</v>
      </c>
    </row>
    <row r="317" spans="1:10" x14ac:dyDescent="0.45">
      <c r="A317" t="s">
        <v>1014</v>
      </c>
      <c r="B317" t="s">
        <v>2378</v>
      </c>
      <c r="C317" t="s">
        <v>2340</v>
      </c>
      <c r="D317" t="s">
        <v>2349</v>
      </c>
      <c r="E317" t="s">
        <v>2350</v>
      </c>
      <c r="F317" t="s">
        <v>2322</v>
      </c>
      <c r="G317" s="2">
        <v>45978</v>
      </c>
      <c r="H317" s="5">
        <v>250000</v>
      </c>
      <c r="I317" t="s">
        <v>2305</v>
      </c>
      <c r="J317" t="s">
        <v>2294</v>
      </c>
    </row>
    <row r="318" spans="1:10" x14ac:dyDescent="0.45">
      <c r="A318" t="s">
        <v>783</v>
      </c>
      <c r="B318" t="s">
        <v>2581</v>
      </c>
      <c r="C318" t="s">
        <v>2340</v>
      </c>
      <c r="D318" t="s">
        <v>2376</v>
      </c>
      <c r="E318" t="s">
        <v>2377</v>
      </c>
      <c r="F318" t="s">
        <v>2298</v>
      </c>
      <c r="G318" s="2">
        <v>44736</v>
      </c>
      <c r="H318" s="5">
        <v>50000</v>
      </c>
      <c r="I318" t="s">
        <v>2293</v>
      </c>
      <c r="J318" t="s">
        <v>2294</v>
      </c>
    </row>
    <row r="319" spans="1:10" x14ac:dyDescent="0.45">
      <c r="A319" t="s">
        <v>932</v>
      </c>
      <c r="B319" t="s">
        <v>2582</v>
      </c>
      <c r="C319" t="s">
        <v>2340</v>
      </c>
      <c r="D319" t="s">
        <v>2376</v>
      </c>
      <c r="E319" t="s">
        <v>2377</v>
      </c>
      <c r="F319" t="s">
        <v>2298</v>
      </c>
      <c r="G319" s="2">
        <v>45883</v>
      </c>
      <c r="H319" s="5">
        <v>750000</v>
      </c>
      <c r="I319" t="s">
        <v>2305</v>
      </c>
      <c r="J319" t="s">
        <v>2325</v>
      </c>
    </row>
    <row r="320" spans="1:10" x14ac:dyDescent="0.45">
      <c r="A320" t="s">
        <v>414</v>
      </c>
      <c r="B320" t="s">
        <v>2583</v>
      </c>
      <c r="C320" t="s">
        <v>2289</v>
      </c>
      <c r="D320" t="s">
        <v>2296</v>
      </c>
      <c r="E320" t="s">
        <v>2297</v>
      </c>
      <c r="F320" t="s">
        <v>2298</v>
      </c>
      <c r="G320" s="2">
        <v>44763</v>
      </c>
      <c r="H320" s="5">
        <v>150000</v>
      </c>
      <c r="I320" t="s">
        <v>2310</v>
      </c>
      <c r="J320" t="s">
        <v>2294</v>
      </c>
    </row>
    <row r="321" spans="1:10" x14ac:dyDescent="0.45">
      <c r="A321" t="s">
        <v>1198</v>
      </c>
      <c r="B321" t="s">
        <v>2577</v>
      </c>
      <c r="C321" t="s">
        <v>2289</v>
      </c>
      <c r="D321" t="s">
        <v>2307</v>
      </c>
      <c r="E321" t="s">
        <v>2308</v>
      </c>
      <c r="F321" t="s">
        <v>2309</v>
      </c>
      <c r="G321" s="2">
        <v>45363</v>
      </c>
      <c r="H321" s="5">
        <v>250000</v>
      </c>
      <c r="I321" t="s">
        <v>2293</v>
      </c>
      <c r="J321" t="s">
        <v>2294</v>
      </c>
    </row>
    <row r="322" spans="1:10" x14ac:dyDescent="0.45">
      <c r="A322" t="s">
        <v>187</v>
      </c>
      <c r="B322" t="s">
        <v>2584</v>
      </c>
      <c r="C322" t="s">
        <v>2302</v>
      </c>
      <c r="D322" t="s">
        <v>2432</v>
      </c>
      <c r="E322" t="s">
        <v>2308</v>
      </c>
      <c r="F322" t="s">
        <v>2309</v>
      </c>
      <c r="G322" s="2">
        <v>45550</v>
      </c>
      <c r="H322" s="5">
        <v>50000</v>
      </c>
      <c r="I322" t="s">
        <v>2310</v>
      </c>
      <c r="J322" t="s">
        <v>2325</v>
      </c>
    </row>
    <row r="323" spans="1:10" x14ac:dyDescent="0.45">
      <c r="A323" t="s">
        <v>682</v>
      </c>
      <c r="B323" t="s">
        <v>2517</v>
      </c>
      <c r="C323" t="s">
        <v>2289</v>
      </c>
      <c r="D323" t="s">
        <v>2372</v>
      </c>
      <c r="E323" t="s">
        <v>2373</v>
      </c>
      <c r="F323" t="s">
        <v>2318</v>
      </c>
      <c r="G323" s="2">
        <v>45264</v>
      </c>
      <c r="H323" s="5">
        <v>250000</v>
      </c>
      <c r="I323" t="s">
        <v>2293</v>
      </c>
      <c r="J323" t="s">
        <v>2294</v>
      </c>
    </row>
    <row r="324" spans="1:10" x14ac:dyDescent="0.45">
      <c r="A324" t="s">
        <v>301</v>
      </c>
      <c r="B324" t="s">
        <v>2585</v>
      </c>
      <c r="C324" t="s">
        <v>2289</v>
      </c>
      <c r="D324" t="s">
        <v>2376</v>
      </c>
      <c r="E324" t="s">
        <v>2377</v>
      </c>
      <c r="F324" t="s">
        <v>2298</v>
      </c>
      <c r="G324" s="2">
        <v>45988</v>
      </c>
      <c r="H324" s="5">
        <v>250000</v>
      </c>
      <c r="I324" t="s">
        <v>2310</v>
      </c>
      <c r="J324" t="s">
        <v>2294</v>
      </c>
    </row>
    <row r="325" spans="1:10" x14ac:dyDescent="0.45">
      <c r="A325" t="s">
        <v>580</v>
      </c>
      <c r="B325" t="s">
        <v>2315</v>
      </c>
      <c r="C325" t="s">
        <v>2340</v>
      </c>
      <c r="D325" t="s">
        <v>2341</v>
      </c>
      <c r="E325" t="s">
        <v>2341</v>
      </c>
      <c r="F325" t="s">
        <v>2318</v>
      </c>
      <c r="G325" s="2">
        <v>45948</v>
      </c>
      <c r="H325" s="5">
        <v>100000</v>
      </c>
      <c r="I325" t="s">
        <v>2299</v>
      </c>
      <c r="J325" t="s">
        <v>2294</v>
      </c>
    </row>
    <row r="326" spans="1:10" x14ac:dyDescent="0.45">
      <c r="A326" t="s">
        <v>1842</v>
      </c>
      <c r="B326" t="s">
        <v>2586</v>
      </c>
      <c r="C326" t="s">
        <v>2289</v>
      </c>
      <c r="D326" t="s">
        <v>2432</v>
      </c>
      <c r="E326" t="s">
        <v>2308</v>
      </c>
      <c r="F326" t="s">
        <v>2309</v>
      </c>
      <c r="G326" s="2">
        <v>45708</v>
      </c>
      <c r="H326" s="5">
        <v>250000</v>
      </c>
      <c r="I326" t="s">
        <v>2299</v>
      </c>
      <c r="J326" t="s">
        <v>2294</v>
      </c>
    </row>
    <row r="327" spans="1:10" x14ac:dyDescent="0.45">
      <c r="A327" t="s">
        <v>255</v>
      </c>
      <c r="B327" t="s">
        <v>2587</v>
      </c>
      <c r="C327" t="s">
        <v>2289</v>
      </c>
      <c r="D327" t="s">
        <v>2336</v>
      </c>
      <c r="E327" t="s">
        <v>2337</v>
      </c>
      <c r="F327" t="s">
        <v>2322</v>
      </c>
      <c r="G327" s="2">
        <v>45908</v>
      </c>
      <c r="H327" s="5">
        <v>250000</v>
      </c>
      <c r="I327" t="s">
        <v>2305</v>
      </c>
      <c r="J327" t="s">
        <v>2294</v>
      </c>
    </row>
    <row r="328" spans="1:10" x14ac:dyDescent="0.45">
      <c r="A328" t="s">
        <v>913</v>
      </c>
      <c r="B328" t="s">
        <v>2384</v>
      </c>
      <c r="C328" t="s">
        <v>2289</v>
      </c>
      <c r="D328" t="s">
        <v>2290</v>
      </c>
      <c r="E328" t="s">
        <v>2291</v>
      </c>
      <c r="F328" t="s">
        <v>2292</v>
      </c>
      <c r="G328" s="2">
        <v>46005</v>
      </c>
      <c r="H328" s="5">
        <v>100000</v>
      </c>
      <c r="I328" t="s">
        <v>2310</v>
      </c>
      <c r="J328" t="s">
        <v>2294</v>
      </c>
    </row>
    <row r="329" spans="1:10" x14ac:dyDescent="0.45">
      <c r="A329" t="s">
        <v>371</v>
      </c>
      <c r="B329" t="s">
        <v>2525</v>
      </c>
      <c r="C329" t="s">
        <v>2302</v>
      </c>
      <c r="D329" t="s">
        <v>2372</v>
      </c>
      <c r="E329" t="s">
        <v>2373</v>
      </c>
      <c r="F329" t="s">
        <v>2318</v>
      </c>
      <c r="G329" s="2">
        <v>45661</v>
      </c>
      <c r="H329" s="5">
        <v>100000</v>
      </c>
      <c r="I329" t="s">
        <v>2305</v>
      </c>
      <c r="J329" t="s">
        <v>2294</v>
      </c>
    </row>
    <row r="330" spans="1:10" x14ac:dyDescent="0.45">
      <c r="A330" t="s">
        <v>1471</v>
      </c>
      <c r="B330" t="s">
        <v>2394</v>
      </c>
      <c r="C330" t="s">
        <v>2340</v>
      </c>
      <c r="D330" t="s">
        <v>2341</v>
      </c>
      <c r="E330" t="s">
        <v>2341</v>
      </c>
      <c r="F330" t="s">
        <v>2318</v>
      </c>
      <c r="G330" s="2">
        <v>45870</v>
      </c>
      <c r="H330" s="5">
        <v>150000</v>
      </c>
      <c r="I330" t="s">
        <v>2305</v>
      </c>
      <c r="J330" t="s">
        <v>2294</v>
      </c>
    </row>
    <row r="331" spans="1:10" x14ac:dyDescent="0.45">
      <c r="A331" t="s">
        <v>212</v>
      </c>
      <c r="B331" t="s">
        <v>2588</v>
      </c>
      <c r="C331" t="s">
        <v>2289</v>
      </c>
      <c r="D331" t="s">
        <v>2324</v>
      </c>
      <c r="E331" t="s">
        <v>2304</v>
      </c>
      <c r="F331" t="s">
        <v>2309</v>
      </c>
      <c r="G331" s="2">
        <v>45499</v>
      </c>
      <c r="H331" s="5">
        <v>500000</v>
      </c>
      <c r="I331" t="s">
        <v>2310</v>
      </c>
      <c r="J331" t="s">
        <v>2294</v>
      </c>
    </row>
    <row r="332" spans="1:10" x14ac:dyDescent="0.45">
      <c r="A332" t="s">
        <v>1278</v>
      </c>
      <c r="B332" t="s">
        <v>2295</v>
      </c>
      <c r="C332" t="s">
        <v>2340</v>
      </c>
      <c r="D332" t="s">
        <v>2363</v>
      </c>
      <c r="E332" t="s">
        <v>2364</v>
      </c>
      <c r="F332" t="s">
        <v>2298</v>
      </c>
      <c r="G332" s="2">
        <v>45203</v>
      </c>
      <c r="H332" s="5">
        <v>50000</v>
      </c>
      <c r="I332" t="s">
        <v>2310</v>
      </c>
      <c r="J332" t="s">
        <v>2294</v>
      </c>
    </row>
    <row r="333" spans="1:10" x14ac:dyDescent="0.45">
      <c r="A333" t="s">
        <v>2589</v>
      </c>
      <c r="B333" t="s">
        <v>2590</v>
      </c>
      <c r="C333" t="s">
        <v>2340</v>
      </c>
      <c r="D333" t="s">
        <v>2376</v>
      </c>
      <c r="E333" t="s">
        <v>2377</v>
      </c>
      <c r="F333" t="s">
        <v>2298</v>
      </c>
      <c r="G333" s="2">
        <v>45418</v>
      </c>
      <c r="H333" s="5">
        <v>500000</v>
      </c>
      <c r="I333" t="s">
        <v>2310</v>
      </c>
      <c r="J333" t="s">
        <v>2294</v>
      </c>
    </row>
    <row r="334" spans="1:10" x14ac:dyDescent="0.45">
      <c r="A334" t="s">
        <v>1309</v>
      </c>
      <c r="B334" t="s">
        <v>2591</v>
      </c>
      <c r="C334" t="s">
        <v>2340</v>
      </c>
      <c r="D334" t="s">
        <v>2303</v>
      </c>
      <c r="E334" t="s">
        <v>2304</v>
      </c>
      <c r="F334" t="s">
        <v>2292</v>
      </c>
      <c r="G334" s="2">
        <v>45883</v>
      </c>
      <c r="H334" s="5">
        <v>100000</v>
      </c>
      <c r="I334" t="s">
        <v>2305</v>
      </c>
      <c r="J334" t="s">
        <v>2294</v>
      </c>
    </row>
    <row r="335" spans="1:10" x14ac:dyDescent="0.45">
      <c r="A335" t="s">
        <v>2592</v>
      </c>
      <c r="B335" t="s">
        <v>2593</v>
      </c>
      <c r="C335" t="s">
        <v>2302</v>
      </c>
      <c r="D335" t="s">
        <v>2383</v>
      </c>
      <c r="E335" t="s">
        <v>2304</v>
      </c>
      <c r="F335" t="s">
        <v>2292</v>
      </c>
      <c r="G335" s="2">
        <v>45830</v>
      </c>
      <c r="H335" s="5">
        <v>50000</v>
      </c>
      <c r="I335" t="s">
        <v>2293</v>
      </c>
      <c r="J335" t="s">
        <v>2325</v>
      </c>
    </row>
    <row r="336" spans="1:10" x14ac:dyDescent="0.45">
      <c r="A336" t="s">
        <v>207</v>
      </c>
      <c r="B336" t="s">
        <v>2342</v>
      </c>
      <c r="C336" t="s">
        <v>2302</v>
      </c>
      <c r="D336" t="s">
        <v>2349</v>
      </c>
      <c r="E336" t="s">
        <v>2350</v>
      </c>
      <c r="F336" t="s">
        <v>2322</v>
      </c>
      <c r="G336" s="2">
        <v>45712</v>
      </c>
      <c r="H336" s="5">
        <v>500000</v>
      </c>
      <c r="I336" t="s">
        <v>2293</v>
      </c>
      <c r="J336" t="s">
        <v>2294</v>
      </c>
    </row>
    <row r="337" spans="1:10" x14ac:dyDescent="0.45">
      <c r="A337" t="s">
        <v>263</v>
      </c>
      <c r="B337" t="s">
        <v>2594</v>
      </c>
      <c r="C337" t="s">
        <v>2340</v>
      </c>
      <c r="D337" t="s">
        <v>2349</v>
      </c>
      <c r="E337" t="s">
        <v>2350</v>
      </c>
      <c r="F337" t="s">
        <v>2322</v>
      </c>
      <c r="G337" s="2">
        <v>44731</v>
      </c>
      <c r="H337" s="5">
        <v>500000</v>
      </c>
      <c r="I337" t="s">
        <v>2310</v>
      </c>
      <c r="J337" t="s">
        <v>2294</v>
      </c>
    </row>
    <row r="338" spans="1:10" x14ac:dyDescent="0.45">
      <c r="A338" t="s">
        <v>80</v>
      </c>
      <c r="B338" t="s">
        <v>2595</v>
      </c>
      <c r="C338" t="s">
        <v>2289</v>
      </c>
      <c r="D338" t="s">
        <v>2363</v>
      </c>
      <c r="E338" t="s">
        <v>2364</v>
      </c>
      <c r="F338" t="s">
        <v>2298</v>
      </c>
      <c r="G338" s="2">
        <v>45153</v>
      </c>
      <c r="H338" s="5">
        <v>100000</v>
      </c>
      <c r="I338" t="s">
        <v>2293</v>
      </c>
      <c r="J338" t="s">
        <v>2294</v>
      </c>
    </row>
    <row r="339" spans="1:10" x14ac:dyDescent="0.45">
      <c r="A339" t="s">
        <v>418</v>
      </c>
      <c r="B339" t="s">
        <v>2596</v>
      </c>
      <c r="C339" t="s">
        <v>2289</v>
      </c>
      <c r="D339" t="s">
        <v>2349</v>
      </c>
      <c r="E339" t="s">
        <v>2350</v>
      </c>
      <c r="F339" t="s">
        <v>2322</v>
      </c>
      <c r="G339" s="2">
        <v>44795</v>
      </c>
      <c r="H339" s="5">
        <v>150000</v>
      </c>
      <c r="I339" t="s">
        <v>2293</v>
      </c>
      <c r="J339" t="s">
        <v>2294</v>
      </c>
    </row>
    <row r="340" spans="1:10" x14ac:dyDescent="0.45">
      <c r="A340" t="s">
        <v>1359</v>
      </c>
      <c r="B340" t="s">
        <v>2453</v>
      </c>
      <c r="C340" t="s">
        <v>2302</v>
      </c>
      <c r="D340" t="s">
        <v>2376</v>
      </c>
      <c r="E340" t="s">
        <v>2377</v>
      </c>
      <c r="F340" t="s">
        <v>2298</v>
      </c>
      <c r="G340" s="2">
        <v>45465</v>
      </c>
      <c r="H340" s="5">
        <v>500000</v>
      </c>
      <c r="I340" t="s">
        <v>2310</v>
      </c>
      <c r="J340" t="s">
        <v>2294</v>
      </c>
    </row>
    <row r="341" spans="1:10" x14ac:dyDescent="0.45">
      <c r="A341" t="s">
        <v>533</v>
      </c>
      <c r="B341" t="s">
        <v>2597</v>
      </c>
      <c r="C341" t="s">
        <v>2289</v>
      </c>
      <c r="D341" t="s">
        <v>2330</v>
      </c>
      <c r="E341" t="s">
        <v>2291</v>
      </c>
      <c r="F341" t="s">
        <v>2292</v>
      </c>
      <c r="G341" s="2">
        <v>45275</v>
      </c>
      <c r="H341" s="5">
        <v>50000</v>
      </c>
      <c r="I341" t="s">
        <v>2305</v>
      </c>
      <c r="J341" t="s">
        <v>2325</v>
      </c>
    </row>
    <row r="342" spans="1:10" x14ac:dyDescent="0.45">
      <c r="A342" t="s">
        <v>1019</v>
      </c>
      <c r="B342" t="s">
        <v>2465</v>
      </c>
      <c r="C342" t="s">
        <v>2302</v>
      </c>
      <c r="D342" t="s">
        <v>2330</v>
      </c>
      <c r="E342" t="s">
        <v>2291</v>
      </c>
      <c r="F342" t="s">
        <v>2292</v>
      </c>
      <c r="G342" s="2">
        <v>45811</v>
      </c>
      <c r="H342" s="5">
        <v>750000</v>
      </c>
      <c r="I342" t="s">
        <v>2305</v>
      </c>
      <c r="J342" t="s">
        <v>2294</v>
      </c>
    </row>
    <row r="343" spans="1:10" x14ac:dyDescent="0.45">
      <c r="A343" t="s">
        <v>701</v>
      </c>
      <c r="B343" t="s">
        <v>2482</v>
      </c>
      <c r="C343" t="s">
        <v>2302</v>
      </c>
      <c r="D343" t="s">
        <v>2290</v>
      </c>
      <c r="E343" t="s">
        <v>2291</v>
      </c>
      <c r="F343" t="s">
        <v>2292</v>
      </c>
      <c r="G343" s="2">
        <v>45729</v>
      </c>
      <c r="H343" s="5">
        <v>150000</v>
      </c>
      <c r="I343" t="s">
        <v>2305</v>
      </c>
      <c r="J343" t="s">
        <v>2294</v>
      </c>
    </row>
    <row r="344" spans="1:10" x14ac:dyDescent="0.45">
      <c r="A344" t="s">
        <v>1265</v>
      </c>
      <c r="B344" t="s">
        <v>2493</v>
      </c>
      <c r="C344" t="s">
        <v>2289</v>
      </c>
      <c r="D344" t="s">
        <v>2303</v>
      </c>
      <c r="E344" t="s">
        <v>2304</v>
      </c>
      <c r="F344" t="s">
        <v>2292</v>
      </c>
      <c r="G344" s="2">
        <v>45109</v>
      </c>
      <c r="H344" s="5">
        <v>500000</v>
      </c>
      <c r="I344" t="s">
        <v>2299</v>
      </c>
      <c r="J344" t="s">
        <v>2294</v>
      </c>
    </row>
    <row r="345" spans="1:10" x14ac:dyDescent="0.45">
      <c r="A345" t="s">
        <v>510</v>
      </c>
      <c r="B345" t="s">
        <v>2598</v>
      </c>
      <c r="C345" t="s">
        <v>2302</v>
      </c>
      <c r="D345" t="s">
        <v>2341</v>
      </c>
      <c r="E345" t="s">
        <v>2341</v>
      </c>
      <c r="F345" t="s">
        <v>2318</v>
      </c>
      <c r="G345" s="2">
        <v>45129</v>
      </c>
      <c r="H345" s="5">
        <v>750000</v>
      </c>
      <c r="I345" t="s">
        <v>2310</v>
      </c>
      <c r="J345" t="s">
        <v>2294</v>
      </c>
    </row>
    <row r="346" spans="1:10" x14ac:dyDescent="0.45">
      <c r="A346" t="s">
        <v>90</v>
      </c>
      <c r="B346" t="s">
        <v>2599</v>
      </c>
      <c r="C346" t="s">
        <v>2302</v>
      </c>
      <c r="D346" t="s">
        <v>2330</v>
      </c>
      <c r="E346" t="s">
        <v>2291</v>
      </c>
      <c r="F346" t="s">
        <v>2292</v>
      </c>
      <c r="G346" s="2">
        <v>45946</v>
      </c>
      <c r="H346" s="5">
        <v>250000</v>
      </c>
      <c r="I346" t="s">
        <v>2305</v>
      </c>
      <c r="J346" t="s">
        <v>2294</v>
      </c>
    </row>
    <row r="347" spans="1:10" x14ac:dyDescent="0.45">
      <c r="A347" t="s">
        <v>716</v>
      </c>
      <c r="B347" t="s">
        <v>2600</v>
      </c>
      <c r="C347" t="s">
        <v>2289</v>
      </c>
      <c r="D347" t="s">
        <v>2313</v>
      </c>
      <c r="E347" t="s">
        <v>2314</v>
      </c>
      <c r="F347" t="s">
        <v>2298</v>
      </c>
      <c r="G347" s="2">
        <v>44716</v>
      </c>
      <c r="H347" s="5">
        <v>750000</v>
      </c>
      <c r="I347" t="s">
        <v>2293</v>
      </c>
      <c r="J347" t="s">
        <v>2294</v>
      </c>
    </row>
    <row r="348" spans="1:10" x14ac:dyDescent="0.45">
      <c r="A348" t="s">
        <v>1436</v>
      </c>
      <c r="B348" t="s">
        <v>2300</v>
      </c>
      <c r="C348" t="s">
        <v>2340</v>
      </c>
      <c r="D348" t="s">
        <v>2336</v>
      </c>
      <c r="E348" t="s">
        <v>2337</v>
      </c>
      <c r="F348" t="s">
        <v>2322</v>
      </c>
      <c r="G348" s="2">
        <v>45317</v>
      </c>
      <c r="H348" s="5">
        <v>250000</v>
      </c>
      <c r="I348" t="s">
        <v>2299</v>
      </c>
      <c r="J348" t="s">
        <v>2294</v>
      </c>
    </row>
    <row r="349" spans="1:10" x14ac:dyDescent="0.45">
      <c r="A349" t="s">
        <v>307</v>
      </c>
      <c r="B349" t="s">
        <v>2601</v>
      </c>
      <c r="C349" t="s">
        <v>2302</v>
      </c>
      <c r="D349" t="s">
        <v>2386</v>
      </c>
      <c r="E349" t="s">
        <v>2386</v>
      </c>
      <c r="F349" t="s">
        <v>2318</v>
      </c>
      <c r="G349" s="2">
        <v>45500</v>
      </c>
      <c r="H349" s="5">
        <v>750000</v>
      </c>
      <c r="I349" t="s">
        <v>2293</v>
      </c>
      <c r="J349" t="s">
        <v>2294</v>
      </c>
    </row>
    <row r="350" spans="1:10" x14ac:dyDescent="0.45">
      <c r="A350" t="s">
        <v>863</v>
      </c>
      <c r="B350" t="s">
        <v>2602</v>
      </c>
      <c r="C350" t="s">
        <v>2289</v>
      </c>
      <c r="D350" t="s">
        <v>2372</v>
      </c>
      <c r="E350" t="s">
        <v>2373</v>
      </c>
      <c r="F350" t="s">
        <v>2318</v>
      </c>
      <c r="G350" s="2">
        <v>45441</v>
      </c>
      <c r="H350" s="5">
        <v>100000</v>
      </c>
      <c r="I350" t="s">
        <v>2305</v>
      </c>
      <c r="J350" t="s">
        <v>2294</v>
      </c>
    </row>
    <row r="351" spans="1:10" x14ac:dyDescent="0.45">
      <c r="A351" t="s">
        <v>134</v>
      </c>
      <c r="B351" t="s">
        <v>2603</v>
      </c>
      <c r="C351" t="s">
        <v>2340</v>
      </c>
      <c r="D351" t="s">
        <v>2363</v>
      </c>
      <c r="E351" t="s">
        <v>2364</v>
      </c>
      <c r="F351" t="s">
        <v>2298</v>
      </c>
      <c r="G351" s="2">
        <v>45721</v>
      </c>
      <c r="H351" s="5">
        <v>250000</v>
      </c>
      <c r="I351" t="s">
        <v>2293</v>
      </c>
      <c r="J351" t="s">
        <v>2294</v>
      </c>
    </row>
    <row r="352" spans="1:10" x14ac:dyDescent="0.45">
      <c r="A352" t="s">
        <v>429</v>
      </c>
      <c r="B352" t="s">
        <v>2538</v>
      </c>
      <c r="C352" t="s">
        <v>2340</v>
      </c>
      <c r="D352" t="s">
        <v>2316</v>
      </c>
      <c r="E352" t="s">
        <v>2317</v>
      </c>
      <c r="F352" t="s">
        <v>2318</v>
      </c>
      <c r="G352" s="2">
        <v>45503</v>
      </c>
      <c r="H352" s="5">
        <v>50000</v>
      </c>
      <c r="I352" t="s">
        <v>2310</v>
      </c>
      <c r="J352" t="s">
        <v>2294</v>
      </c>
    </row>
    <row r="353" spans="1:10" x14ac:dyDescent="0.45">
      <c r="A353" t="s">
        <v>777</v>
      </c>
      <c r="B353" t="s">
        <v>2486</v>
      </c>
      <c r="C353" t="s">
        <v>2302</v>
      </c>
      <c r="D353" t="s">
        <v>2355</v>
      </c>
      <c r="E353" t="s">
        <v>2356</v>
      </c>
      <c r="F353" t="s">
        <v>2322</v>
      </c>
      <c r="G353" s="2">
        <v>45438</v>
      </c>
      <c r="H353" s="5">
        <v>100000</v>
      </c>
      <c r="I353" t="s">
        <v>2299</v>
      </c>
      <c r="J353" t="s">
        <v>2294</v>
      </c>
    </row>
    <row r="354" spans="1:10" x14ac:dyDescent="0.45">
      <c r="A354" t="s">
        <v>29</v>
      </c>
      <c r="B354" t="s">
        <v>2604</v>
      </c>
      <c r="C354" t="s">
        <v>2289</v>
      </c>
      <c r="D354" t="s">
        <v>2363</v>
      </c>
      <c r="E354" t="s">
        <v>2364</v>
      </c>
      <c r="F354" t="s">
        <v>2298</v>
      </c>
      <c r="G354" s="2">
        <v>45300</v>
      </c>
      <c r="H354" s="5">
        <v>150000</v>
      </c>
      <c r="I354" t="s">
        <v>2310</v>
      </c>
      <c r="J354" t="s">
        <v>2294</v>
      </c>
    </row>
    <row r="355" spans="1:10" x14ac:dyDescent="0.45">
      <c r="A355" t="s">
        <v>303</v>
      </c>
      <c r="B355" t="s">
        <v>2605</v>
      </c>
      <c r="C355" t="s">
        <v>2340</v>
      </c>
      <c r="D355" t="s">
        <v>2303</v>
      </c>
      <c r="E355" t="s">
        <v>2304</v>
      </c>
      <c r="F355" t="s">
        <v>2292</v>
      </c>
      <c r="G355" s="2">
        <v>45994</v>
      </c>
      <c r="H355" s="5">
        <v>100000</v>
      </c>
      <c r="I355" t="s">
        <v>2305</v>
      </c>
      <c r="J355" t="s">
        <v>2294</v>
      </c>
    </row>
    <row r="356" spans="1:10" x14ac:dyDescent="0.45">
      <c r="A356" t="s">
        <v>453</v>
      </c>
      <c r="B356" t="s">
        <v>2606</v>
      </c>
      <c r="C356" t="s">
        <v>2340</v>
      </c>
      <c r="D356" t="s">
        <v>2341</v>
      </c>
      <c r="E356" t="s">
        <v>2341</v>
      </c>
      <c r="F356" t="s">
        <v>2318</v>
      </c>
      <c r="G356" s="2">
        <v>44833</v>
      </c>
      <c r="H356" s="5">
        <v>500000</v>
      </c>
      <c r="I356" t="s">
        <v>2310</v>
      </c>
      <c r="J356" t="s">
        <v>2294</v>
      </c>
    </row>
    <row r="357" spans="1:10" x14ac:dyDescent="0.45">
      <c r="A357" t="s">
        <v>696</v>
      </c>
      <c r="B357" t="s">
        <v>2315</v>
      </c>
      <c r="C357" t="s">
        <v>2302</v>
      </c>
      <c r="D357" t="s">
        <v>2386</v>
      </c>
      <c r="E357" t="s">
        <v>2386</v>
      </c>
      <c r="F357" t="s">
        <v>2318</v>
      </c>
      <c r="G357" s="2">
        <v>45426</v>
      </c>
      <c r="H357" s="5">
        <v>750000</v>
      </c>
      <c r="I357" t="s">
        <v>2310</v>
      </c>
      <c r="J357" t="s">
        <v>2294</v>
      </c>
    </row>
    <row r="358" spans="1:10" x14ac:dyDescent="0.45">
      <c r="A358" t="s">
        <v>1179</v>
      </c>
      <c r="B358" t="s">
        <v>2607</v>
      </c>
      <c r="C358" t="s">
        <v>2289</v>
      </c>
      <c r="D358" t="s">
        <v>2336</v>
      </c>
      <c r="E358" t="s">
        <v>2337</v>
      </c>
      <c r="F358" t="s">
        <v>2322</v>
      </c>
      <c r="G358" s="2">
        <v>45314</v>
      </c>
      <c r="H358" s="5">
        <v>150000</v>
      </c>
      <c r="I358" t="s">
        <v>2310</v>
      </c>
      <c r="J358" t="s">
        <v>2294</v>
      </c>
    </row>
    <row r="359" spans="1:10" x14ac:dyDescent="0.45">
      <c r="A359" t="s">
        <v>773</v>
      </c>
      <c r="B359" t="s">
        <v>2608</v>
      </c>
      <c r="C359" t="s">
        <v>2289</v>
      </c>
      <c r="D359" t="s">
        <v>2383</v>
      </c>
      <c r="E359" t="s">
        <v>2304</v>
      </c>
      <c r="F359" t="s">
        <v>2292</v>
      </c>
      <c r="G359" s="2">
        <v>45715</v>
      </c>
      <c r="H359" s="5">
        <v>50000</v>
      </c>
      <c r="I359" t="s">
        <v>2305</v>
      </c>
      <c r="J359" t="s">
        <v>2294</v>
      </c>
    </row>
    <row r="360" spans="1:10" x14ac:dyDescent="0.45">
      <c r="A360" t="s">
        <v>555</v>
      </c>
      <c r="B360" t="s">
        <v>2450</v>
      </c>
      <c r="C360" t="s">
        <v>2340</v>
      </c>
      <c r="D360" t="s">
        <v>2376</v>
      </c>
      <c r="E360" t="s">
        <v>2377</v>
      </c>
      <c r="F360" t="s">
        <v>2298</v>
      </c>
      <c r="G360" s="2">
        <v>44872</v>
      </c>
      <c r="H360" s="5">
        <v>250000</v>
      </c>
      <c r="I360" t="s">
        <v>2305</v>
      </c>
      <c r="J360" t="s">
        <v>2294</v>
      </c>
    </row>
    <row r="361" spans="1:10" x14ac:dyDescent="0.45">
      <c r="A361" t="s">
        <v>1193</v>
      </c>
      <c r="B361" t="s">
        <v>2607</v>
      </c>
      <c r="C361" t="s">
        <v>2289</v>
      </c>
      <c r="D361" t="s">
        <v>2290</v>
      </c>
      <c r="E361" t="s">
        <v>2291</v>
      </c>
      <c r="F361" t="s">
        <v>2292</v>
      </c>
      <c r="G361" s="2">
        <v>44814</v>
      </c>
      <c r="H361" s="5">
        <v>500000</v>
      </c>
      <c r="I361" t="s">
        <v>2293</v>
      </c>
      <c r="J361" t="s">
        <v>2294</v>
      </c>
    </row>
    <row r="362" spans="1:10" x14ac:dyDescent="0.45">
      <c r="A362" t="s">
        <v>504</v>
      </c>
      <c r="B362" t="s">
        <v>2442</v>
      </c>
      <c r="C362" t="s">
        <v>2289</v>
      </c>
      <c r="D362" t="s">
        <v>2320</v>
      </c>
      <c r="E362" t="s">
        <v>2321</v>
      </c>
      <c r="F362" t="s">
        <v>2322</v>
      </c>
      <c r="G362" s="2">
        <v>45882</v>
      </c>
      <c r="H362" s="5">
        <v>50000</v>
      </c>
      <c r="I362" t="s">
        <v>2310</v>
      </c>
      <c r="J362" t="s">
        <v>2294</v>
      </c>
    </row>
    <row r="363" spans="1:10" x14ac:dyDescent="0.45">
      <c r="A363" t="s">
        <v>1907</v>
      </c>
      <c r="B363" t="s">
        <v>2575</v>
      </c>
      <c r="C363" t="s">
        <v>2302</v>
      </c>
      <c r="D363" t="s">
        <v>2366</v>
      </c>
      <c r="E363" t="s">
        <v>2367</v>
      </c>
      <c r="F363" t="s">
        <v>2309</v>
      </c>
      <c r="G363" s="2">
        <v>45910</v>
      </c>
      <c r="H363" s="5">
        <v>150000</v>
      </c>
      <c r="I363" t="s">
        <v>2310</v>
      </c>
      <c r="J363" t="s">
        <v>2294</v>
      </c>
    </row>
    <row r="364" spans="1:10" x14ac:dyDescent="0.45">
      <c r="A364" t="s">
        <v>455</v>
      </c>
      <c r="B364" t="s">
        <v>2609</v>
      </c>
      <c r="C364" t="s">
        <v>2289</v>
      </c>
      <c r="D364" t="s">
        <v>2290</v>
      </c>
      <c r="E364" t="s">
        <v>2291</v>
      </c>
      <c r="F364" t="s">
        <v>2292</v>
      </c>
      <c r="G364" s="2">
        <v>44673</v>
      </c>
      <c r="H364" s="5">
        <v>100000</v>
      </c>
      <c r="I364" t="s">
        <v>2305</v>
      </c>
      <c r="J364" t="s">
        <v>2294</v>
      </c>
    </row>
    <row r="365" spans="1:10" x14ac:dyDescent="0.45">
      <c r="A365" t="s">
        <v>420</v>
      </c>
      <c r="B365" t="s">
        <v>2610</v>
      </c>
      <c r="C365" t="s">
        <v>2340</v>
      </c>
      <c r="D365" t="s">
        <v>2349</v>
      </c>
      <c r="E365" t="s">
        <v>2350</v>
      </c>
      <c r="F365" t="s">
        <v>2322</v>
      </c>
      <c r="G365" s="2">
        <v>44586</v>
      </c>
      <c r="H365" s="5">
        <v>150000</v>
      </c>
      <c r="I365" t="s">
        <v>2299</v>
      </c>
      <c r="J365" t="s">
        <v>2294</v>
      </c>
    </row>
    <row r="366" spans="1:10" x14ac:dyDescent="0.45">
      <c r="A366" t="s">
        <v>422</v>
      </c>
      <c r="B366" t="s">
        <v>2611</v>
      </c>
      <c r="C366" t="s">
        <v>2340</v>
      </c>
      <c r="D366" t="s">
        <v>2324</v>
      </c>
      <c r="E366" t="s">
        <v>2304</v>
      </c>
      <c r="F366" t="s">
        <v>2309</v>
      </c>
      <c r="G366" s="2">
        <v>44915</v>
      </c>
      <c r="H366" s="5">
        <v>250000</v>
      </c>
      <c r="I366" t="s">
        <v>2299</v>
      </c>
      <c r="J366" t="s">
        <v>2294</v>
      </c>
    </row>
    <row r="367" spans="1:10" x14ac:dyDescent="0.45">
      <c r="A367" t="s">
        <v>786</v>
      </c>
      <c r="B367" t="s">
        <v>2612</v>
      </c>
      <c r="C367" t="s">
        <v>2289</v>
      </c>
      <c r="D367" t="s">
        <v>2386</v>
      </c>
      <c r="E367" t="s">
        <v>2386</v>
      </c>
      <c r="F367" t="s">
        <v>2318</v>
      </c>
      <c r="G367" s="2">
        <v>45003</v>
      </c>
      <c r="H367" s="5">
        <v>50000</v>
      </c>
      <c r="I367" t="s">
        <v>2299</v>
      </c>
      <c r="J367" t="s">
        <v>2325</v>
      </c>
    </row>
    <row r="368" spans="1:10" x14ac:dyDescent="0.45">
      <c r="A368" t="s">
        <v>706</v>
      </c>
      <c r="B368" t="s">
        <v>2449</v>
      </c>
      <c r="C368" t="s">
        <v>2340</v>
      </c>
      <c r="D368" t="s">
        <v>2336</v>
      </c>
      <c r="E368" t="s">
        <v>2337</v>
      </c>
      <c r="F368" t="s">
        <v>2322</v>
      </c>
      <c r="G368" s="2">
        <v>45588</v>
      </c>
      <c r="H368" s="5">
        <v>250000</v>
      </c>
      <c r="I368" t="s">
        <v>2305</v>
      </c>
      <c r="J368" t="s">
        <v>2294</v>
      </c>
    </row>
    <row r="369" spans="1:10" x14ac:dyDescent="0.45">
      <c r="A369" t="s">
        <v>67</v>
      </c>
      <c r="B369" t="s">
        <v>2323</v>
      </c>
      <c r="C369" t="s">
        <v>2289</v>
      </c>
      <c r="D369" t="s">
        <v>2307</v>
      </c>
      <c r="E369" t="s">
        <v>2308</v>
      </c>
      <c r="F369" t="s">
        <v>2309</v>
      </c>
      <c r="G369" s="2">
        <v>45196</v>
      </c>
      <c r="H369" s="5">
        <v>50000</v>
      </c>
      <c r="I369" t="s">
        <v>2305</v>
      </c>
      <c r="J369" t="s">
        <v>2294</v>
      </c>
    </row>
    <row r="370" spans="1:10" x14ac:dyDescent="0.45">
      <c r="A370" t="s">
        <v>1794</v>
      </c>
      <c r="B370" t="s">
        <v>2613</v>
      </c>
      <c r="C370" t="s">
        <v>2289</v>
      </c>
      <c r="D370" t="s">
        <v>2383</v>
      </c>
      <c r="E370" t="s">
        <v>2304</v>
      </c>
      <c r="F370" t="s">
        <v>2292</v>
      </c>
      <c r="G370" s="2">
        <v>45861</v>
      </c>
      <c r="H370" s="5">
        <v>750000</v>
      </c>
      <c r="I370" t="s">
        <v>2293</v>
      </c>
      <c r="J370" t="s">
        <v>2294</v>
      </c>
    </row>
    <row r="371" spans="1:10" x14ac:dyDescent="0.45">
      <c r="A371" t="s">
        <v>1024</v>
      </c>
      <c r="B371" t="s">
        <v>2614</v>
      </c>
      <c r="C371" t="s">
        <v>2289</v>
      </c>
      <c r="D371" t="s">
        <v>2320</v>
      </c>
      <c r="E371" t="s">
        <v>2321</v>
      </c>
      <c r="F371" t="s">
        <v>2322</v>
      </c>
      <c r="G371" s="2">
        <v>44738</v>
      </c>
      <c r="H371" s="5">
        <v>250000</v>
      </c>
      <c r="I371" t="s">
        <v>2310</v>
      </c>
      <c r="J371" t="s">
        <v>2294</v>
      </c>
    </row>
    <row r="372" spans="1:10" x14ac:dyDescent="0.45">
      <c r="A372" t="s">
        <v>1467</v>
      </c>
      <c r="B372" t="s">
        <v>2615</v>
      </c>
      <c r="C372" t="s">
        <v>2289</v>
      </c>
      <c r="D372" t="s">
        <v>2316</v>
      </c>
      <c r="E372" t="s">
        <v>2317</v>
      </c>
      <c r="F372" t="s">
        <v>2318</v>
      </c>
      <c r="G372" s="2">
        <v>46011</v>
      </c>
      <c r="H372" s="5">
        <v>100000</v>
      </c>
      <c r="I372" t="s">
        <v>2293</v>
      </c>
      <c r="J372" t="s">
        <v>2294</v>
      </c>
    </row>
    <row r="373" spans="1:10" x14ac:dyDescent="0.45">
      <c r="A373" t="s">
        <v>565</v>
      </c>
      <c r="B373" t="s">
        <v>2616</v>
      </c>
      <c r="C373" t="s">
        <v>2302</v>
      </c>
      <c r="D373" t="s">
        <v>2376</v>
      </c>
      <c r="E373" t="s">
        <v>2377</v>
      </c>
      <c r="F373" t="s">
        <v>2298</v>
      </c>
      <c r="G373" s="2">
        <v>45092</v>
      </c>
      <c r="H373" s="5">
        <v>100000</v>
      </c>
      <c r="I373" t="s">
        <v>2305</v>
      </c>
      <c r="J373" t="s">
        <v>2294</v>
      </c>
    </row>
    <row r="374" spans="1:10" x14ac:dyDescent="0.45">
      <c r="A374" t="s">
        <v>223</v>
      </c>
      <c r="B374" t="s">
        <v>2451</v>
      </c>
      <c r="C374" t="s">
        <v>2302</v>
      </c>
      <c r="D374" t="s">
        <v>2313</v>
      </c>
      <c r="E374" t="s">
        <v>2314</v>
      </c>
      <c r="F374" t="s">
        <v>2298</v>
      </c>
      <c r="G374" s="2">
        <v>44622</v>
      </c>
      <c r="H374" s="5">
        <v>150000</v>
      </c>
      <c r="I374" t="s">
        <v>2293</v>
      </c>
      <c r="J374" t="s">
        <v>2294</v>
      </c>
    </row>
    <row r="375" spans="1:10" x14ac:dyDescent="0.45">
      <c r="A375" t="s">
        <v>471</v>
      </c>
      <c r="B375" t="s">
        <v>2332</v>
      </c>
      <c r="C375" t="s">
        <v>2340</v>
      </c>
      <c r="D375" t="s">
        <v>2372</v>
      </c>
      <c r="E375" t="s">
        <v>2373</v>
      </c>
      <c r="F375" t="s">
        <v>2318</v>
      </c>
      <c r="G375" s="2">
        <v>45608</v>
      </c>
      <c r="H375" s="5">
        <v>150000</v>
      </c>
      <c r="I375" t="s">
        <v>2310</v>
      </c>
      <c r="J375" t="s">
        <v>2294</v>
      </c>
    </row>
    <row r="376" spans="1:10" x14ac:dyDescent="0.45">
      <c r="A376" t="s">
        <v>543</v>
      </c>
      <c r="B376" t="s">
        <v>2617</v>
      </c>
      <c r="C376" t="s">
        <v>2289</v>
      </c>
      <c r="D376" t="s">
        <v>2303</v>
      </c>
      <c r="E376" t="s">
        <v>2304</v>
      </c>
      <c r="F376" t="s">
        <v>2292</v>
      </c>
      <c r="G376" s="2">
        <v>44772</v>
      </c>
      <c r="H376" s="5">
        <v>500000</v>
      </c>
      <c r="I376" t="s">
        <v>2293</v>
      </c>
      <c r="J376" t="s">
        <v>2294</v>
      </c>
    </row>
    <row r="377" spans="1:10" x14ac:dyDescent="0.45">
      <c r="A377" t="s">
        <v>373</v>
      </c>
      <c r="B377" t="s">
        <v>2618</v>
      </c>
      <c r="C377" t="s">
        <v>2302</v>
      </c>
      <c r="D377" t="s">
        <v>2432</v>
      </c>
      <c r="E377" t="s">
        <v>2308</v>
      </c>
      <c r="F377" t="s">
        <v>2309</v>
      </c>
      <c r="G377" s="2">
        <v>44587</v>
      </c>
      <c r="H377" s="5">
        <v>100000</v>
      </c>
      <c r="I377" t="s">
        <v>2310</v>
      </c>
      <c r="J377" t="s">
        <v>2294</v>
      </c>
    </row>
    <row r="378" spans="1:10" x14ac:dyDescent="0.45">
      <c r="A378" t="s">
        <v>346</v>
      </c>
      <c r="B378" t="s">
        <v>2582</v>
      </c>
      <c r="C378" t="s">
        <v>2340</v>
      </c>
      <c r="D378" t="s">
        <v>2383</v>
      </c>
      <c r="E378" t="s">
        <v>2304</v>
      </c>
      <c r="F378" t="s">
        <v>2292</v>
      </c>
      <c r="G378" s="2">
        <v>45904</v>
      </c>
      <c r="H378" s="5">
        <v>250000</v>
      </c>
      <c r="I378" t="s">
        <v>2310</v>
      </c>
      <c r="J378" t="s">
        <v>2294</v>
      </c>
    </row>
    <row r="379" spans="1:10" x14ac:dyDescent="0.45">
      <c r="A379" t="s">
        <v>723</v>
      </c>
      <c r="B379" t="s">
        <v>2332</v>
      </c>
      <c r="C379" t="s">
        <v>2340</v>
      </c>
      <c r="D379" t="s">
        <v>2296</v>
      </c>
      <c r="E379" t="s">
        <v>2297</v>
      </c>
      <c r="F379" t="s">
        <v>2298</v>
      </c>
      <c r="G379" s="2">
        <v>44806</v>
      </c>
      <c r="H379" s="5">
        <v>500000</v>
      </c>
      <c r="I379" t="s">
        <v>2293</v>
      </c>
      <c r="J379" t="s">
        <v>2294</v>
      </c>
    </row>
    <row r="380" spans="1:10" x14ac:dyDescent="0.45">
      <c r="A380" t="s">
        <v>1108</v>
      </c>
      <c r="B380" t="s">
        <v>2555</v>
      </c>
      <c r="C380" t="s">
        <v>2302</v>
      </c>
      <c r="D380" t="s">
        <v>2330</v>
      </c>
      <c r="E380" t="s">
        <v>2291</v>
      </c>
      <c r="F380" t="s">
        <v>2292</v>
      </c>
      <c r="G380" s="2">
        <v>45383</v>
      </c>
      <c r="H380" s="5">
        <v>50000</v>
      </c>
      <c r="I380" t="s">
        <v>2293</v>
      </c>
      <c r="J380" t="s">
        <v>2294</v>
      </c>
    </row>
    <row r="381" spans="1:10" x14ac:dyDescent="0.45">
      <c r="A381" t="s">
        <v>736</v>
      </c>
      <c r="B381" t="s">
        <v>2557</v>
      </c>
      <c r="C381" t="s">
        <v>2340</v>
      </c>
      <c r="D381" t="s">
        <v>2363</v>
      </c>
      <c r="E381" t="s">
        <v>2364</v>
      </c>
      <c r="F381" t="s">
        <v>2298</v>
      </c>
      <c r="G381" s="2">
        <v>44578</v>
      </c>
      <c r="H381" s="5">
        <v>150000</v>
      </c>
      <c r="I381" t="s">
        <v>2310</v>
      </c>
      <c r="J381" t="s">
        <v>2294</v>
      </c>
    </row>
    <row r="382" spans="1:10" x14ac:dyDescent="0.45">
      <c r="A382" t="s">
        <v>315</v>
      </c>
      <c r="B382" t="s">
        <v>2614</v>
      </c>
      <c r="C382" t="s">
        <v>2340</v>
      </c>
      <c r="D382" t="s">
        <v>2363</v>
      </c>
      <c r="E382" t="s">
        <v>2364</v>
      </c>
      <c r="F382" t="s">
        <v>2298</v>
      </c>
      <c r="G382" s="2">
        <v>45773</v>
      </c>
      <c r="H382" s="5">
        <v>250000</v>
      </c>
      <c r="I382" t="s">
        <v>2299</v>
      </c>
      <c r="J382" t="s">
        <v>2294</v>
      </c>
    </row>
    <row r="383" spans="1:10" x14ac:dyDescent="0.45">
      <c r="A383" t="s">
        <v>1079</v>
      </c>
      <c r="B383" t="s">
        <v>2619</v>
      </c>
      <c r="C383" t="s">
        <v>2289</v>
      </c>
      <c r="D383" t="s">
        <v>2307</v>
      </c>
      <c r="E383" t="s">
        <v>2308</v>
      </c>
      <c r="F383" t="s">
        <v>2309</v>
      </c>
      <c r="G383" s="2">
        <v>45401</v>
      </c>
      <c r="H383" s="5">
        <v>50000</v>
      </c>
      <c r="I383" t="s">
        <v>2310</v>
      </c>
      <c r="J383" t="s">
        <v>2294</v>
      </c>
    </row>
    <row r="384" spans="1:10" x14ac:dyDescent="0.45">
      <c r="A384" t="s">
        <v>611</v>
      </c>
      <c r="B384" t="s">
        <v>2333</v>
      </c>
      <c r="C384" t="s">
        <v>2302</v>
      </c>
      <c r="D384" t="s">
        <v>2386</v>
      </c>
      <c r="E384" t="s">
        <v>2386</v>
      </c>
      <c r="F384" t="s">
        <v>2318</v>
      </c>
      <c r="G384" s="2">
        <v>45332</v>
      </c>
      <c r="H384" s="5">
        <v>750000</v>
      </c>
      <c r="I384" t="s">
        <v>2293</v>
      </c>
      <c r="J384" t="s">
        <v>2294</v>
      </c>
    </row>
    <row r="385" spans="1:10" x14ac:dyDescent="0.45">
      <c r="A385" t="s">
        <v>169</v>
      </c>
      <c r="B385" t="s">
        <v>2620</v>
      </c>
      <c r="C385" t="s">
        <v>2340</v>
      </c>
      <c r="D385" t="s">
        <v>2432</v>
      </c>
      <c r="E385" t="s">
        <v>2308</v>
      </c>
      <c r="F385" t="s">
        <v>2309</v>
      </c>
      <c r="G385" s="2">
        <v>44684</v>
      </c>
      <c r="H385" s="5">
        <v>100000</v>
      </c>
      <c r="I385" t="s">
        <v>2293</v>
      </c>
      <c r="J385" t="s">
        <v>2294</v>
      </c>
    </row>
    <row r="386" spans="1:10" x14ac:dyDescent="0.45">
      <c r="A386" t="s">
        <v>1491</v>
      </c>
      <c r="B386" t="s">
        <v>2543</v>
      </c>
      <c r="C386" t="s">
        <v>2289</v>
      </c>
      <c r="D386" t="s">
        <v>2330</v>
      </c>
      <c r="E386" t="s">
        <v>2291</v>
      </c>
      <c r="F386" t="s">
        <v>2292</v>
      </c>
      <c r="G386" s="2">
        <v>45324</v>
      </c>
      <c r="H386" s="5">
        <v>250000</v>
      </c>
      <c r="I386" t="s">
        <v>2299</v>
      </c>
      <c r="J386" t="s">
        <v>2294</v>
      </c>
    </row>
    <row r="387" spans="1:10" x14ac:dyDescent="0.45">
      <c r="A387" t="s">
        <v>132</v>
      </c>
      <c r="B387" t="s">
        <v>2621</v>
      </c>
      <c r="C387" t="s">
        <v>2340</v>
      </c>
      <c r="D387" t="s">
        <v>2341</v>
      </c>
      <c r="E387" t="s">
        <v>2341</v>
      </c>
      <c r="F387" t="s">
        <v>2318</v>
      </c>
      <c r="G387" s="2">
        <v>45369</v>
      </c>
      <c r="H387" s="5">
        <v>50000</v>
      </c>
      <c r="I387" t="s">
        <v>2305</v>
      </c>
      <c r="J387" t="s">
        <v>2294</v>
      </c>
    </row>
    <row r="388" spans="1:10" x14ac:dyDescent="0.45">
      <c r="A388" t="s">
        <v>675</v>
      </c>
      <c r="B388" t="s">
        <v>2553</v>
      </c>
      <c r="C388" t="s">
        <v>2289</v>
      </c>
      <c r="D388" t="s">
        <v>2383</v>
      </c>
      <c r="E388" t="s">
        <v>2304</v>
      </c>
      <c r="F388" t="s">
        <v>2292</v>
      </c>
      <c r="G388" s="2">
        <v>45207</v>
      </c>
      <c r="H388" s="5">
        <v>250000</v>
      </c>
      <c r="I388" t="s">
        <v>2293</v>
      </c>
      <c r="J388" t="s">
        <v>2294</v>
      </c>
    </row>
    <row r="389" spans="1:10" x14ac:dyDescent="0.45">
      <c r="A389" t="s">
        <v>274</v>
      </c>
      <c r="B389" t="s">
        <v>2357</v>
      </c>
      <c r="C389" t="s">
        <v>2289</v>
      </c>
      <c r="D389" t="s">
        <v>2296</v>
      </c>
      <c r="E389" t="s">
        <v>2297</v>
      </c>
      <c r="F389" t="s">
        <v>2298</v>
      </c>
      <c r="G389" s="2">
        <v>44977</v>
      </c>
      <c r="H389" s="5">
        <v>100000</v>
      </c>
      <c r="I389" t="s">
        <v>2293</v>
      </c>
      <c r="J389" t="s">
        <v>2294</v>
      </c>
    </row>
    <row r="390" spans="1:10" x14ac:dyDescent="0.45">
      <c r="A390" t="s">
        <v>355</v>
      </c>
      <c r="B390" t="s">
        <v>2548</v>
      </c>
      <c r="C390" t="s">
        <v>2289</v>
      </c>
      <c r="D390" t="s">
        <v>2383</v>
      </c>
      <c r="E390" t="s">
        <v>2304</v>
      </c>
      <c r="F390" t="s">
        <v>2292</v>
      </c>
      <c r="G390" s="2">
        <v>45205</v>
      </c>
      <c r="H390" s="5">
        <v>250000</v>
      </c>
      <c r="I390" t="s">
        <v>2310</v>
      </c>
      <c r="J390" t="s">
        <v>2294</v>
      </c>
    </row>
    <row r="391" spans="1:10" x14ac:dyDescent="0.45">
      <c r="A391" t="s">
        <v>802</v>
      </c>
      <c r="B391" t="s">
        <v>2579</v>
      </c>
      <c r="C391" t="s">
        <v>2340</v>
      </c>
      <c r="D391" t="s">
        <v>2290</v>
      </c>
      <c r="E391" t="s">
        <v>2291</v>
      </c>
      <c r="F391" t="s">
        <v>2292</v>
      </c>
      <c r="G391" s="2">
        <v>44807</v>
      </c>
      <c r="H391" s="5">
        <v>50000</v>
      </c>
      <c r="I391" t="s">
        <v>2310</v>
      </c>
      <c r="J391" t="s">
        <v>2294</v>
      </c>
    </row>
    <row r="392" spans="1:10" x14ac:dyDescent="0.45">
      <c r="A392" t="s">
        <v>698</v>
      </c>
      <c r="B392" t="s">
        <v>2622</v>
      </c>
      <c r="C392" t="s">
        <v>2302</v>
      </c>
      <c r="D392" t="s">
        <v>2366</v>
      </c>
      <c r="E392" t="s">
        <v>2367</v>
      </c>
      <c r="F392" t="s">
        <v>2309</v>
      </c>
      <c r="G392" s="2">
        <v>45233</v>
      </c>
      <c r="H392" s="5">
        <v>100000</v>
      </c>
      <c r="I392" t="s">
        <v>2310</v>
      </c>
      <c r="J392" t="s">
        <v>2294</v>
      </c>
    </row>
    <row r="393" spans="1:10" x14ac:dyDescent="0.45">
      <c r="A393" t="s">
        <v>286</v>
      </c>
      <c r="B393" t="s">
        <v>2623</v>
      </c>
      <c r="C393" t="s">
        <v>2289</v>
      </c>
      <c r="D393" t="s">
        <v>2376</v>
      </c>
      <c r="E393" t="s">
        <v>2377</v>
      </c>
      <c r="F393" t="s">
        <v>2298</v>
      </c>
      <c r="G393" s="2">
        <v>45174</v>
      </c>
      <c r="H393" s="5">
        <v>150000</v>
      </c>
      <c r="I393" t="s">
        <v>2293</v>
      </c>
      <c r="J393" t="s">
        <v>2294</v>
      </c>
    </row>
    <row r="394" spans="1:10" x14ac:dyDescent="0.45">
      <c r="A394" t="s">
        <v>377</v>
      </c>
      <c r="B394" t="s">
        <v>2624</v>
      </c>
      <c r="C394" t="s">
        <v>2340</v>
      </c>
      <c r="D394" t="s">
        <v>2336</v>
      </c>
      <c r="E394" t="s">
        <v>2337</v>
      </c>
      <c r="F394" t="s">
        <v>2322</v>
      </c>
      <c r="G394" s="2">
        <v>45688</v>
      </c>
      <c r="H394" s="5">
        <v>100000</v>
      </c>
      <c r="I394" t="s">
        <v>2310</v>
      </c>
      <c r="J394" t="s">
        <v>2294</v>
      </c>
    </row>
    <row r="395" spans="1:10" x14ac:dyDescent="0.45">
      <c r="A395" t="s">
        <v>909</v>
      </c>
      <c r="B395" t="s">
        <v>2393</v>
      </c>
      <c r="C395" t="s">
        <v>2289</v>
      </c>
      <c r="D395" t="s">
        <v>2383</v>
      </c>
      <c r="E395" t="s">
        <v>2304</v>
      </c>
      <c r="F395" t="s">
        <v>2292</v>
      </c>
      <c r="G395" s="2">
        <v>45017</v>
      </c>
      <c r="H395" s="5">
        <v>100000</v>
      </c>
      <c r="I395" t="s">
        <v>2310</v>
      </c>
      <c r="J395" t="s">
        <v>2294</v>
      </c>
    </row>
    <row r="396" spans="1:10" x14ac:dyDescent="0.45">
      <c r="A396" t="s">
        <v>817</v>
      </c>
      <c r="B396" t="s">
        <v>2625</v>
      </c>
      <c r="C396" t="s">
        <v>2302</v>
      </c>
      <c r="D396" t="s">
        <v>2372</v>
      </c>
      <c r="E396" t="s">
        <v>2373</v>
      </c>
      <c r="F396" t="s">
        <v>2318</v>
      </c>
      <c r="G396" s="2">
        <v>44715</v>
      </c>
      <c r="H396" s="5">
        <v>50000</v>
      </c>
      <c r="I396" t="s">
        <v>2299</v>
      </c>
      <c r="J396" t="s">
        <v>2294</v>
      </c>
    </row>
    <row r="397" spans="1:10" x14ac:dyDescent="0.45">
      <c r="A397" t="s">
        <v>499</v>
      </c>
      <c r="B397" t="s">
        <v>2626</v>
      </c>
      <c r="C397" t="s">
        <v>2289</v>
      </c>
      <c r="D397" t="s">
        <v>2355</v>
      </c>
      <c r="E397" t="s">
        <v>2356</v>
      </c>
      <c r="F397" t="s">
        <v>2322</v>
      </c>
      <c r="G397" s="2">
        <v>45241</v>
      </c>
      <c r="H397" s="5">
        <v>50000</v>
      </c>
      <c r="I397" t="s">
        <v>2310</v>
      </c>
      <c r="J397" t="s">
        <v>2294</v>
      </c>
    </row>
    <row r="398" spans="1:10" x14ac:dyDescent="0.45">
      <c r="A398" t="s">
        <v>123</v>
      </c>
      <c r="B398" t="s">
        <v>2627</v>
      </c>
      <c r="C398" t="s">
        <v>2302</v>
      </c>
      <c r="D398" t="s">
        <v>2303</v>
      </c>
      <c r="E398" t="s">
        <v>2304</v>
      </c>
      <c r="F398" t="s">
        <v>2292</v>
      </c>
      <c r="G398" s="2">
        <v>45370</v>
      </c>
      <c r="H398" s="5">
        <v>250000</v>
      </c>
      <c r="I398" t="s">
        <v>2310</v>
      </c>
      <c r="J398" t="s">
        <v>2294</v>
      </c>
    </row>
    <row r="399" spans="1:10" x14ac:dyDescent="0.45">
      <c r="A399" t="s">
        <v>342</v>
      </c>
      <c r="B399" t="s">
        <v>2628</v>
      </c>
      <c r="C399" t="s">
        <v>2302</v>
      </c>
      <c r="D399" t="s">
        <v>2303</v>
      </c>
      <c r="E399" t="s">
        <v>2304</v>
      </c>
      <c r="F399" t="s">
        <v>2292</v>
      </c>
      <c r="G399" s="2">
        <v>45125</v>
      </c>
      <c r="H399" s="5">
        <v>150000</v>
      </c>
      <c r="I399" t="s">
        <v>2305</v>
      </c>
      <c r="J399" t="s">
        <v>2294</v>
      </c>
    </row>
    <row r="400" spans="1:10" x14ac:dyDescent="0.45">
      <c r="A400" t="s">
        <v>490</v>
      </c>
      <c r="B400" t="s">
        <v>2396</v>
      </c>
      <c r="C400" t="s">
        <v>2340</v>
      </c>
      <c r="D400" t="s">
        <v>2366</v>
      </c>
      <c r="E400" t="s">
        <v>2367</v>
      </c>
      <c r="F400" t="s">
        <v>2309</v>
      </c>
      <c r="G400" s="2">
        <v>45583</v>
      </c>
      <c r="H400" s="5">
        <v>250000</v>
      </c>
      <c r="I400" t="s">
        <v>2293</v>
      </c>
      <c r="J400" t="s">
        <v>2294</v>
      </c>
    </row>
    <row r="401" spans="1:10" x14ac:dyDescent="0.45">
      <c r="A401" t="s">
        <v>771</v>
      </c>
      <c r="B401" t="s">
        <v>2558</v>
      </c>
      <c r="C401" t="s">
        <v>2289</v>
      </c>
      <c r="D401" t="s">
        <v>2372</v>
      </c>
      <c r="E401" t="s">
        <v>2373</v>
      </c>
      <c r="F401" t="s">
        <v>2318</v>
      </c>
      <c r="G401" s="2">
        <v>44970</v>
      </c>
      <c r="H401" s="5">
        <v>750000</v>
      </c>
      <c r="I401" t="s">
        <v>2293</v>
      </c>
      <c r="J401" t="s">
        <v>2294</v>
      </c>
    </row>
    <row r="402" spans="1:10" x14ac:dyDescent="0.45">
      <c r="A402" t="s">
        <v>70</v>
      </c>
      <c r="B402" t="s">
        <v>2629</v>
      </c>
      <c r="C402" t="s">
        <v>2302</v>
      </c>
      <c r="D402" t="s">
        <v>2307</v>
      </c>
      <c r="E402" t="s">
        <v>2308</v>
      </c>
      <c r="F402" t="s">
        <v>2309</v>
      </c>
      <c r="G402" s="2">
        <v>45297</v>
      </c>
      <c r="H402" s="5">
        <v>250000</v>
      </c>
      <c r="I402" t="s">
        <v>2305</v>
      </c>
      <c r="J402" t="s">
        <v>2294</v>
      </c>
    </row>
    <row r="403" spans="1:10" x14ac:dyDescent="0.45">
      <c r="A403" t="s">
        <v>105</v>
      </c>
      <c r="B403" t="s">
        <v>2630</v>
      </c>
      <c r="C403" t="s">
        <v>2289</v>
      </c>
      <c r="D403" t="s">
        <v>2324</v>
      </c>
      <c r="E403" t="s">
        <v>2304</v>
      </c>
      <c r="F403" t="s">
        <v>2309</v>
      </c>
      <c r="G403" s="2">
        <v>44930</v>
      </c>
      <c r="H403" s="5">
        <v>50000</v>
      </c>
      <c r="I403" t="s">
        <v>2310</v>
      </c>
      <c r="J403" t="s">
        <v>2294</v>
      </c>
    </row>
    <row r="404" spans="1:10" x14ac:dyDescent="0.45">
      <c r="A404" t="s">
        <v>99</v>
      </c>
      <c r="B404" t="s">
        <v>2631</v>
      </c>
      <c r="C404" t="s">
        <v>2340</v>
      </c>
      <c r="D404" t="s">
        <v>2313</v>
      </c>
      <c r="E404" t="s">
        <v>2314</v>
      </c>
      <c r="F404" t="s">
        <v>2298</v>
      </c>
      <c r="G404" s="2">
        <v>45758</v>
      </c>
      <c r="H404" s="5">
        <v>100000</v>
      </c>
      <c r="I404" t="s">
        <v>2299</v>
      </c>
      <c r="J404" t="s">
        <v>2294</v>
      </c>
    </row>
    <row r="405" spans="1:10" x14ac:dyDescent="0.45">
      <c r="A405" t="s">
        <v>767</v>
      </c>
      <c r="B405" t="s">
        <v>2632</v>
      </c>
      <c r="C405" t="s">
        <v>2302</v>
      </c>
      <c r="D405" t="s">
        <v>2330</v>
      </c>
      <c r="E405" t="s">
        <v>2291</v>
      </c>
      <c r="F405" t="s">
        <v>2292</v>
      </c>
      <c r="G405" s="2">
        <v>44676</v>
      </c>
      <c r="H405" s="5">
        <v>100000</v>
      </c>
      <c r="I405" t="s">
        <v>2305</v>
      </c>
      <c r="J405" t="s">
        <v>2325</v>
      </c>
    </row>
    <row r="406" spans="1:10" x14ac:dyDescent="0.45">
      <c r="A406" t="s">
        <v>416</v>
      </c>
      <c r="B406" t="s">
        <v>2617</v>
      </c>
      <c r="C406" t="s">
        <v>2289</v>
      </c>
      <c r="D406" t="s">
        <v>2336</v>
      </c>
      <c r="E406" t="s">
        <v>2337</v>
      </c>
      <c r="F406" t="s">
        <v>2322</v>
      </c>
      <c r="G406" s="2">
        <v>45775</v>
      </c>
      <c r="H406" s="5">
        <v>150000</v>
      </c>
      <c r="I406" t="s">
        <v>2293</v>
      </c>
      <c r="J406" t="s">
        <v>2294</v>
      </c>
    </row>
    <row r="407" spans="1:10" x14ac:dyDescent="0.45">
      <c r="A407" t="s">
        <v>201</v>
      </c>
      <c r="B407" t="s">
        <v>2502</v>
      </c>
      <c r="C407" t="s">
        <v>2302</v>
      </c>
      <c r="D407" t="s">
        <v>2324</v>
      </c>
      <c r="E407" t="s">
        <v>2304</v>
      </c>
      <c r="F407" t="s">
        <v>2309</v>
      </c>
      <c r="G407" s="2">
        <v>45716</v>
      </c>
      <c r="H407" s="5">
        <v>100000</v>
      </c>
      <c r="I407" t="s">
        <v>2305</v>
      </c>
      <c r="J407" t="s">
        <v>2294</v>
      </c>
    </row>
    <row r="408" spans="1:10" x14ac:dyDescent="0.45">
      <c r="A408" t="s">
        <v>591</v>
      </c>
      <c r="B408" t="s">
        <v>2500</v>
      </c>
      <c r="C408" t="s">
        <v>2289</v>
      </c>
      <c r="D408" t="s">
        <v>2349</v>
      </c>
      <c r="E408" t="s">
        <v>2350</v>
      </c>
      <c r="F408" t="s">
        <v>2322</v>
      </c>
      <c r="G408" s="2">
        <v>44639</v>
      </c>
      <c r="H408" s="5">
        <v>50000</v>
      </c>
      <c r="I408" t="s">
        <v>2310</v>
      </c>
      <c r="J408" t="s">
        <v>2294</v>
      </c>
    </row>
    <row r="409" spans="1:10" x14ac:dyDescent="0.45">
      <c r="A409" t="s">
        <v>163</v>
      </c>
      <c r="B409" t="s">
        <v>2312</v>
      </c>
      <c r="C409" t="s">
        <v>2289</v>
      </c>
      <c r="D409" t="s">
        <v>2386</v>
      </c>
      <c r="E409" t="s">
        <v>2386</v>
      </c>
      <c r="F409" t="s">
        <v>2318</v>
      </c>
      <c r="G409" s="2">
        <v>45819</v>
      </c>
      <c r="H409" s="5">
        <v>100000</v>
      </c>
      <c r="I409" t="s">
        <v>2293</v>
      </c>
      <c r="J409" t="s">
        <v>2294</v>
      </c>
    </row>
    <row r="410" spans="1:10" x14ac:dyDescent="0.45">
      <c r="A410" t="s">
        <v>2060</v>
      </c>
      <c r="B410" t="s">
        <v>2457</v>
      </c>
      <c r="C410" t="s">
        <v>2289</v>
      </c>
      <c r="D410" t="s">
        <v>2303</v>
      </c>
      <c r="E410" t="s">
        <v>2304</v>
      </c>
      <c r="F410" t="s">
        <v>2292</v>
      </c>
      <c r="G410" s="2">
        <v>44864</v>
      </c>
      <c r="H410" s="5">
        <v>500000</v>
      </c>
      <c r="I410" t="s">
        <v>2293</v>
      </c>
      <c r="J410" t="s">
        <v>2294</v>
      </c>
    </row>
    <row r="411" spans="1:10" x14ac:dyDescent="0.45">
      <c r="A411" t="s">
        <v>64</v>
      </c>
      <c r="B411" t="s">
        <v>2633</v>
      </c>
      <c r="C411" t="s">
        <v>2302</v>
      </c>
      <c r="D411" t="s">
        <v>2341</v>
      </c>
      <c r="E411" t="s">
        <v>2341</v>
      </c>
      <c r="F411" t="s">
        <v>2318</v>
      </c>
      <c r="G411" s="2">
        <v>44710</v>
      </c>
      <c r="H411" s="5">
        <v>150000</v>
      </c>
      <c r="I411" t="s">
        <v>2293</v>
      </c>
      <c r="J411" t="s">
        <v>2294</v>
      </c>
    </row>
    <row r="412" spans="1:10" x14ac:dyDescent="0.45">
      <c r="A412" t="s">
        <v>237</v>
      </c>
      <c r="B412" t="s">
        <v>2634</v>
      </c>
      <c r="C412" t="s">
        <v>2289</v>
      </c>
      <c r="D412" t="s">
        <v>2324</v>
      </c>
      <c r="E412" t="s">
        <v>2304</v>
      </c>
      <c r="F412" t="s">
        <v>2309</v>
      </c>
      <c r="G412" s="2">
        <v>44841</v>
      </c>
      <c r="H412" s="5">
        <v>100000</v>
      </c>
      <c r="I412" t="s">
        <v>2293</v>
      </c>
      <c r="J412" t="s">
        <v>2294</v>
      </c>
    </row>
    <row r="413" spans="1:10" x14ac:dyDescent="0.45">
      <c r="A413" t="s">
        <v>2635</v>
      </c>
      <c r="B413" t="s">
        <v>2636</v>
      </c>
      <c r="C413" t="s">
        <v>2289</v>
      </c>
      <c r="D413" t="s">
        <v>2349</v>
      </c>
      <c r="E413" t="s">
        <v>2350</v>
      </c>
      <c r="F413" t="s">
        <v>2322</v>
      </c>
      <c r="G413" s="2">
        <v>45712</v>
      </c>
      <c r="H413" s="5">
        <v>750000</v>
      </c>
      <c r="I413" t="s">
        <v>2293</v>
      </c>
      <c r="J413" t="s">
        <v>2294</v>
      </c>
    </row>
    <row r="414" spans="1:10" x14ac:dyDescent="0.45">
      <c r="A414" t="s">
        <v>1578</v>
      </c>
      <c r="B414" t="s">
        <v>2637</v>
      </c>
      <c r="C414" t="s">
        <v>2289</v>
      </c>
      <c r="D414" t="s">
        <v>2376</v>
      </c>
      <c r="E414" t="s">
        <v>2377</v>
      </c>
      <c r="F414" t="s">
        <v>2298</v>
      </c>
      <c r="G414" s="2">
        <v>45972</v>
      </c>
      <c r="H414" s="5">
        <v>150000</v>
      </c>
      <c r="I414" t="s">
        <v>2310</v>
      </c>
      <c r="J414" t="s">
        <v>2294</v>
      </c>
    </row>
    <row r="415" spans="1:10" x14ac:dyDescent="0.45">
      <c r="A415" t="s">
        <v>921</v>
      </c>
      <c r="B415" t="s">
        <v>2638</v>
      </c>
      <c r="C415" t="s">
        <v>2289</v>
      </c>
      <c r="D415" t="s">
        <v>2324</v>
      </c>
      <c r="E415" t="s">
        <v>2304</v>
      </c>
      <c r="F415" t="s">
        <v>2309</v>
      </c>
      <c r="G415" s="2">
        <v>45213</v>
      </c>
      <c r="H415" s="5">
        <v>500000</v>
      </c>
      <c r="I415" t="s">
        <v>2310</v>
      </c>
      <c r="J415" t="s">
        <v>2294</v>
      </c>
    </row>
    <row r="416" spans="1:10" x14ac:dyDescent="0.45">
      <c r="A416" t="s">
        <v>989</v>
      </c>
      <c r="B416" t="s">
        <v>2599</v>
      </c>
      <c r="C416" t="s">
        <v>2302</v>
      </c>
      <c r="D416" t="s">
        <v>2349</v>
      </c>
      <c r="E416" t="s">
        <v>2350</v>
      </c>
      <c r="F416" t="s">
        <v>2322</v>
      </c>
      <c r="G416" s="2">
        <v>45049</v>
      </c>
      <c r="H416" s="5">
        <v>150000</v>
      </c>
      <c r="I416" t="s">
        <v>2299</v>
      </c>
      <c r="J416" t="s">
        <v>2294</v>
      </c>
    </row>
    <row r="417" spans="1:10" x14ac:dyDescent="0.45">
      <c r="A417" t="s">
        <v>390</v>
      </c>
      <c r="B417" t="s">
        <v>2639</v>
      </c>
      <c r="C417" t="s">
        <v>2289</v>
      </c>
      <c r="D417" t="s">
        <v>2372</v>
      </c>
      <c r="E417" t="s">
        <v>2373</v>
      </c>
      <c r="F417" t="s">
        <v>2318</v>
      </c>
      <c r="G417" s="2">
        <v>45105</v>
      </c>
      <c r="H417" s="5">
        <v>100000</v>
      </c>
      <c r="I417" t="s">
        <v>2310</v>
      </c>
      <c r="J417" t="s">
        <v>2294</v>
      </c>
    </row>
    <row r="418" spans="1:10" x14ac:dyDescent="0.45">
      <c r="A418" t="s">
        <v>1319</v>
      </c>
      <c r="B418" t="s">
        <v>2433</v>
      </c>
      <c r="C418" t="s">
        <v>2302</v>
      </c>
      <c r="D418" t="s">
        <v>2313</v>
      </c>
      <c r="E418" t="s">
        <v>2314</v>
      </c>
      <c r="F418" t="s">
        <v>2298</v>
      </c>
      <c r="G418" s="2">
        <v>44660</v>
      </c>
      <c r="H418" s="5">
        <v>250000</v>
      </c>
      <c r="I418" t="s">
        <v>2305</v>
      </c>
      <c r="J418" t="s">
        <v>2294</v>
      </c>
    </row>
    <row r="419" spans="1:10" x14ac:dyDescent="0.45">
      <c r="A419" t="s">
        <v>267</v>
      </c>
      <c r="B419" t="s">
        <v>2640</v>
      </c>
      <c r="C419" t="s">
        <v>2340</v>
      </c>
      <c r="D419" t="s">
        <v>2303</v>
      </c>
      <c r="E419" t="s">
        <v>2304</v>
      </c>
      <c r="F419" t="s">
        <v>2292</v>
      </c>
      <c r="G419" s="2">
        <v>45337</v>
      </c>
      <c r="H419" s="5">
        <v>150000</v>
      </c>
      <c r="I419" t="s">
        <v>2305</v>
      </c>
      <c r="J419" t="s">
        <v>2294</v>
      </c>
    </row>
    <row r="420" spans="1:10" x14ac:dyDescent="0.45">
      <c r="A420" t="s">
        <v>524</v>
      </c>
      <c r="B420" t="s">
        <v>2444</v>
      </c>
      <c r="C420" t="s">
        <v>2289</v>
      </c>
      <c r="D420" t="s">
        <v>2349</v>
      </c>
      <c r="E420" t="s">
        <v>2350</v>
      </c>
      <c r="F420" t="s">
        <v>2322</v>
      </c>
      <c r="G420" s="2">
        <v>44712</v>
      </c>
      <c r="H420" s="5">
        <v>50000</v>
      </c>
      <c r="I420" t="s">
        <v>2310</v>
      </c>
      <c r="J420" t="s">
        <v>2294</v>
      </c>
    </row>
    <row r="421" spans="1:10" x14ac:dyDescent="0.45">
      <c r="A421" t="s">
        <v>260</v>
      </c>
      <c r="B421" t="s">
        <v>2641</v>
      </c>
      <c r="C421" t="s">
        <v>2289</v>
      </c>
      <c r="D421" t="s">
        <v>2341</v>
      </c>
      <c r="E421" t="s">
        <v>2341</v>
      </c>
      <c r="F421" t="s">
        <v>2318</v>
      </c>
      <c r="G421" s="2">
        <v>45330</v>
      </c>
      <c r="H421" s="5">
        <v>100000</v>
      </c>
      <c r="I421" t="s">
        <v>2293</v>
      </c>
      <c r="J421" t="s">
        <v>2294</v>
      </c>
    </row>
  </sheetData>
  <autoFilter ref="A1:J421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zoomScale="145" zoomScaleNormal="145" workbookViewId="0">
      <pane ySplit="1" topLeftCell="A2" activePane="bottomLeft" state="frozen"/>
      <selection pane="bottomLeft" activeCell="D1" sqref="D1:D1048576"/>
    </sheetView>
  </sheetViews>
  <sheetFormatPr defaultRowHeight="14.25" x14ac:dyDescent="0.45"/>
  <cols>
    <col min="1" max="1" width="16" customWidth="1"/>
    <col min="2" max="2" width="18" customWidth="1"/>
    <col min="3" max="4" width="12" customWidth="1"/>
    <col min="5" max="6" width="14" customWidth="1"/>
    <col min="7" max="7" width="16" customWidth="1"/>
    <col min="8" max="8" width="20" customWidth="1"/>
    <col min="9" max="9" width="19" customWidth="1"/>
  </cols>
  <sheetData>
    <row r="1" spans="1:9" x14ac:dyDescent="0.45">
      <c r="A1" s="1" t="s">
        <v>4</v>
      </c>
      <c r="B1" s="1" t="s">
        <v>2642</v>
      </c>
      <c r="C1" s="1" t="s">
        <v>2643</v>
      </c>
      <c r="D1" s="1" t="s">
        <v>2283</v>
      </c>
      <c r="E1" s="1" t="s">
        <v>2644</v>
      </c>
      <c r="F1" s="1" t="s">
        <v>2645</v>
      </c>
      <c r="G1" s="1" t="s">
        <v>2646</v>
      </c>
      <c r="H1" s="1" t="s">
        <v>2647</v>
      </c>
      <c r="I1" s="1" t="s">
        <v>2648</v>
      </c>
    </row>
    <row r="2" spans="1:9" x14ac:dyDescent="0.45">
      <c r="A2" t="s">
        <v>97</v>
      </c>
      <c r="B2" t="s">
        <v>2503</v>
      </c>
      <c r="C2" t="s">
        <v>2649</v>
      </c>
      <c r="D2" t="s">
        <v>2318</v>
      </c>
      <c r="E2" s="2">
        <v>44485</v>
      </c>
      <c r="F2" t="s">
        <v>2650</v>
      </c>
      <c r="G2" s="5">
        <v>80000</v>
      </c>
      <c r="H2">
        <v>5</v>
      </c>
      <c r="I2" t="s">
        <v>2294</v>
      </c>
    </row>
    <row r="3" spans="1:9" x14ac:dyDescent="0.45">
      <c r="A3" t="s">
        <v>35</v>
      </c>
      <c r="B3" t="s">
        <v>2361</v>
      </c>
      <c r="C3" t="s">
        <v>2649</v>
      </c>
      <c r="D3" t="s">
        <v>2298</v>
      </c>
      <c r="E3" s="2">
        <v>44867</v>
      </c>
      <c r="F3" t="s">
        <v>2651</v>
      </c>
      <c r="G3" s="5">
        <v>85000</v>
      </c>
      <c r="H3">
        <v>2.9</v>
      </c>
      <c r="I3" t="s">
        <v>2294</v>
      </c>
    </row>
    <row r="4" spans="1:9" x14ac:dyDescent="0.45">
      <c r="A4" t="s">
        <v>127</v>
      </c>
      <c r="B4" t="s">
        <v>2582</v>
      </c>
      <c r="C4" t="s">
        <v>2649</v>
      </c>
      <c r="D4" t="s">
        <v>2322</v>
      </c>
      <c r="E4" s="2">
        <v>43515</v>
      </c>
      <c r="F4" t="s">
        <v>2652</v>
      </c>
      <c r="G4" s="5">
        <v>60000</v>
      </c>
      <c r="H4">
        <v>3</v>
      </c>
      <c r="I4" t="s">
        <v>2294</v>
      </c>
    </row>
    <row r="5" spans="1:9" x14ac:dyDescent="0.45">
      <c r="A5" t="s">
        <v>31</v>
      </c>
      <c r="B5" t="s">
        <v>2581</v>
      </c>
      <c r="C5" t="s">
        <v>2649</v>
      </c>
      <c r="D5" t="s">
        <v>2292</v>
      </c>
      <c r="E5" s="2">
        <v>45313</v>
      </c>
      <c r="F5" t="s">
        <v>2653</v>
      </c>
      <c r="G5" s="5">
        <v>55000</v>
      </c>
      <c r="H5">
        <v>4.2</v>
      </c>
      <c r="I5" t="s">
        <v>2294</v>
      </c>
    </row>
    <row r="6" spans="1:9" x14ac:dyDescent="0.45">
      <c r="A6" t="s">
        <v>225</v>
      </c>
      <c r="B6" t="s">
        <v>2654</v>
      </c>
      <c r="C6" t="s">
        <v>2649</v>
      </c>
      <c r="D6" t="s">
        <v>2309</v>
      </c>
      <c r="E6" s="2">
        <v>44710</v>
      </c>
      <c r="F6" t="s">
        <v>2655</v>
      </c>
      <c r="G6" s="5">
        <v>80000</v>
      </c>
      <c r="H6">
        <v>3.9</v>
      </c>
      <c r="I6" t="s">
        <v>2294</v>
      </c>
    </row>
    <row r="7" spans="1:9" x14ac:dyDescent="0.45">
      <c r="A7" t="s">
        <v>144</v>
      </c>
      <c r="B7" t="s">
        <v>2438</v>
      </c>
      <c r="C7" t="s">
        <v>2649</v>
      </c>
      <c r="D7" t="s">
        <v>2318</v>
      </c>
      <c r="E7" s="2">
        <v>43116</v>
      </c>
      <c r="F7" t="s">
        <v>2650</v>
      </c>
      <c r="G7" s="5">
        <v>65000</v>
      </c>
      <c r="H7">
        <v>2.7</v>
      </c>
      <c r="I7" t="s">
        <v>2294</v>
      </c>
    </row>
    <row r="8" spans="1:9" x14ac:dyDescent="0.45">
      <c r="A8" t="s">
        <v>115</v>
      </c>
      <c r="B8" t="s">
        <v>2656</v>
      </c>
      <c r="C8" t="s">
        <v>2649</v>
      </c>
      <c r="D8" t="s">
        <v>2298</v>
      </c>
      <c r="E8" s="2">
        <v>43918</v>
      </c>
      <c r="F8" t="s">
        <v>2651</v>
      </c>
      <c r="G8" s="5">
        <v>40000</v>
      </c>
      <c r="H8">
        <v>2.6</v>
      </c>
      <c r="I8" t="s">
        <v>2294</v>
      </c>
    </row>
    <row r="9" spans="1:9" x14ac:dyDescent="0.45">
      <c r="A9" t="s">
        <v>218</v>
      </c>
      <c r="B9" t="s">
        <v>2516</v>
      </c>
      <c r="C9" t="s">
        <v>2649</v>
      </c>
      <c r="D9" t="s">
        <v>2322</v>
      </c>
      <c r="E9" s="2">
        <v>45040</v>
      </c>
      <c r="F9" t="s">
        <v>2652</v>
      </c>
      <c r="G9" s="5">
        <v>40000</v>
      </c>
      <c r="H9">
        <v>3.3</v>
      </c>
      <c r="I9" t="s">
        <v>2294</v>
      </c>
    </row>
    <row r="10" spans="1:9" x14ac:dyDescent="0.45">
      <c r="A10" t="s">
        <v>152</v>
      </c>
      <c r="B10" t="s">
        <v>2568</v>
      </c>
      <c r="C10" t="s">
        <v>2649</v>
      </c>
      <c r="D10" t="s">
        <v>2292</v>
      </c>
      <c r="E10" s="2">
        <v>43474</v>
      </c>
      <c r="F10" t="s">
        <v>2653</v>
      </c>
      <c r="G10" s="5">
        <v>85000</v>
      </c>
      <c r="H10">
        <v>3.9</v>
      </c>
      <c r="I10" t="s">
        <v>2294</v>
      </c>
    </row>
    <row r="11" spans="1:9" x14ac:dyDescent="0.45">
      <c r="A11" t="s">
        <v>101</v>
      </c>
      <c r="B11" t="s">
        <v>2657</v>
      </c>
      <c r="C11" t="s">
        <v>2649</v>
      </c>
      <c r="D11" t="s">
        <v>2309</v>
      </c>
      <c r="E11" s="2">
        <v>44614</v>
      </c>
      <c r="F11" t="s">
        <v>2655</v>
      </c>
      <c r="G11" s="5">
        <v>45000</v>
      </c>
      <c r="H11">
        <v>3.6</v>
      </c>
      <c r="I11" t="s">
        <v>2294</v>
      </c>
    </row>
    <row r="12" spans="1:9" x14ac:dyDescent="0.45">
      <c r="A12" t="s">
        <v>281</v>
      </c>
      <c r="B12" t="s">
        <v>2357</v>
      </c>
      <c r="C12" t="s">
        <v>2649</v>
      </c>
      <c r="D12" t="s">
        <v>2318</v>
      </c>
      <c r="E12" s="2">
        <v>44027</v>
      </c>
      <c r="F12" t="s">
        <v>2650</v>
      </c>
      <c r="G12" s="5">
        <v>55000</v>
      </c>
      <c r="H12">
        <v>3.9</v>
      </c>
      <c r="I12" t="s">
        <v>2294</v>
      </c>
    </row>
    <row r="13" spans="1:9" x14ac:dyDescent="0.45">
      <c r="A13" t="s">
        <v>58</v>
      </c>
      <c r="B13" t="s">
        <v>2539</v>
      </c>
      <c r="C13" t="s">
        <v>2649</v>
      </c>
      <c r="D13" t="s">
        <v>2298</v>
      </c>
      <c r="E13" s="2">
        <v>43452</v>
      </c>
      <c r="F13" t="s">
        <v>2651</v>
      </c>
      <c r="G13" s="5">
        <v>85000</v>
      </c>
      <c r="H13">
        <v>3.4</v>
      </c>
      <c r="I13" t="s">
        <v>2294</v>
      </c>
    </row>
    <row r="14" spans="1:9" x14ac:dyDescent="0.45">
      <c r="A14" t="s">
        <v>136</v>
      </c>
      <c r="B14" t="s">
        <v>2619</v>
      </c>
      <c r="C14" t="s">
        <v>2649</v>
      </c>
      <c r="D14" t="s">
        <v>2322</v>
      </c>
      <c r="E14" s="2">
        <v>45368</v>
      </c>
      <c r="F14" t="s">
        <v>2652</v>
      </c>
      <c r="G14" s="5">
        <v>35000</v>
      </c>
      <c r="H14">
        <v>4.5999999999999996</v>
      </c>
      <c r="I14" t="s">
        <v>2294</v>
      </c>
    </row>
    <row r="15" spans="1:9" x14ac:dyDescent="0.45">
      <c r="A15" t="s">
        <v>13</v>
      </c>
      <c r="B15" t="s">
        <v>2658</v>
      </c>
      <c r="C15" t="s">
        <v>2649</v>
      </c>
      <c r="D15" t="s">
        <v>2292</v>
      </c>
      <c r="E15" s="2">
        <v>45045</v>
      </c>
      <c r="F15" t="s">
        <v>2653</v>
      </c>
      <c r="G15" s="5">
        <v>80000</v>
      </c>
      <c r="H15">
        <v>4.7</v>
      </c>
      <c r="I15" t="s">
        <v>2294</v>
      </c>
    </row>
    <row r="16" spans="1:9" x14ac:dyDescent="0.45">
      <c r="A16" t="s">
        <v>85</v>
      </c>
      <c r="B16" t="s">
        <v>2422</v>
      </c>
      <c r="C16" t="s">
        <v>2649</v>
      </c>
      <c r="D16" t="s">
        <v>2309</v>
      </c>
      <c r="E16" s="2">
        <v>43243</v>
      </c>
      <c r="F16" t="s">
        <v>2655</v>
      </c>
      <c r="G16" s="5">
        <v>75000</v>
      </c>
      <c r="H16">
        <v>3.9</v>
      </c>
      <c r="I16" t="s">
        <v>2294</v>
      </c>
    </row>
    <row r="17" spans="1:9" x14ac:dyDescent="0.45">
      <c r="A17" t="s">
        <v>47</v>
      </c>
      <c r="B17" t="s">
        <v>2497</v>
      </c>
      <c r="C17" t="s">
        <v>2649</v>
      </c>
      <c r="D17" t="s">
        <v>2318</v>
      </c>
      <c r="E17" s="2">
        <v>43593</v>
      </c>
      <c r="F17" t="s">
        <v>2650</v>
      </c>
      <c r="G17" s="5">
        <v>95000</v>
      </c>
      <c r="H17">
        <v>3.6</v>
      </c>
      <c r="I17" t="s">
        <v>2659</v>
      </c>
    </row>
    <row r="18" spans="1:9" x14ac:dyDescent="0.45">
      <c r="A18" t="s">
        <v>140</v>
      </c>
      <c r="B18" t="s">
        <v>2660</v>
      </c>
      <c r="C18" t="s">
        <v>2649</v>
      </c>
      <c r="D18" t="s">
        <v>2298</v>
      </c>
      <c r="E18" s="2">
        <v>43890</v>
      </c>
      <c r="F18" t="s">
        <v>2651</v>
      </c>
      <c r="G18" s="5">
        <v>45000</v>
      </c>
      <c r="H18">
        <v>2.6</v>
      </c>
      <c r="I18" t="s">
        <v>2294</v>
      </c>
    </row>
    <row r="19" spans="1:9" x14ac:dyDescent="0.45">
      <c r="A19" t="s">
        <v>52</v>
      </c>
      <c r="B19" t="s">
        <v>2661</v>
      </c>
      <c r="C19" t="s">
        <v>2649</v>
      </c>
      <c r="D19" t="s">
        <v>2322</v>
      </c>
      <c r="E19" s="2">
        <v>43928</v>
      </c>
      <c r="F19" t="s">
        <v>2652</v>
      </c>
      <c r="G19" s="5">
        <v>85000</v>
      </c>
      <c r="H19">
        <v>2.9</v>
      </c>
      <c r="I19" t="s">
        <v>2294</v>
      </c>
    </row>
    <row r="20" spans="1:9" x14ac:dyDescent="0.45">
      <c r="A20" t="s">
        <v>197</v>
      </c>
      <c r="B20" t="s">
        <v>2557</v>
      </c>
      <c r="C20" t="s">
        <v>2649</v>
      </c>
      <c r="D20" t="s">
        <v>2292</v>
      </c>
      <c r="E20" s="2">
        <v>43457</v>
      </c>
      <c r="F20" t="s">
        <v>2653</v>
      </c>
      <c r="G20" s="5">
        <v>65000</v>
      </c>
      <c r="H20">
        <v>3.9</v>
      </c>
      <c r="I20" t="s">
        <v>2294</v>
      </c>
    </row>
    <row r="21" spans="1:9" x14ac:dyDescent="0.45">
      <c r="A21" t="s">
        <v>82</v>
      </c>
      <c r="B21" t="s">
        <v>2662</v>
      </c>
      <c r="C21" t="s">
        <v>2649</v>
      </c>
      <c r="D21" t="s">
        <v>2309</v>
      </c>
      <c r="E21" s="2">
        <v>45229</v>
      </c>
      <c r="F21" t="s">
        <v>2655</v>
      </c>
      <c r="G21" s="5">
        <v>70000</v>
      </c>
      <c r="H21">
        <v>4.8</v>
      </c>
      <c r="I21" t="s">
        <v>2294</v>
      </c>
    </row>
    <row r="22" spans="1:9" x14ac:dyDescent="0.45">
      <c r="A22" t="s">
        <v>25</v>
      </c>
      <c r="B22" t="s">
        <v>2663</v>
      </c>
      <c r="C22" t="s">
        <v>2649</v>
      </c>
      <c r="D22" t="s">
        <v>2318</v>
      </c>
      <c r="E22" s="2">
        <v>44819</v>
      </c>
      <c r="F22" t="s">
        <v>2650</v>
      </c>
      <c r="G22" s="5">
        <v>40000</v>
      </c>
      <c r="H22">
        <v>3.5</v>
      </c>
      <c r="I22" t="s">
        <v>2294</v>
      </c>
    </row>
    <row r="23" spans="1:9" x14ac:dyDescent="0.45">
      <c r="A23" t="s">
        <v>20</v>
      </c>
      <c r="B23" t="s">
        <v>2525</v>
      </c>
      <c r="C23" t="s">
        <v>2649</v>
      </c>
      <c r="D23" t="s">
        <v>2298</v>
      </c>
      <c r="E23" s="2">
        <v>43533</v>
      </c>
      <c r="F23" t="s">
        <v>2651</v>
      </c>
      <c r="G23" s="5">
        <v>80000</v>
      </c>
      <c r="H23">
        <v>4.4000000000000004</v>
      </c>
      <c r="I23" t="s">
        <v>2294</v>
      </c>
    </row>
    <row r="24" spans="1:9" x14ac:dyDescent="0.45">
      <c r="A24" t="s">
        <v>72</v>
      </c>
      <c r="B24" t="s">
        <v>2418</v>
      </c>
      <c r="C24" t="s">
        <v>2649</v>
      </c>
      <c r="D24" t="s">
        <v>2322</v>
      </c>
      <c r="E24" s="2">
        <v>44509</v>
      </c>
      <c r="F24" t="s">
        <v>2652</v>
      </c>
      <c r="G24" s="5">
        <v>65000</v>
      </c>
      <c r="H24">
        <v>3.2</v>
      </c>
      <c r="I24" t="s">
        <v>2294</v>
      </c>
    </row>
    <row r="25" spans="1:9" x14ac:dyDescent="0.45">
      <c r="A25" t="s">
        <v>111</v>
      </c>
      <c r="B25" t="s">
        <v>2664</v>
      </c>
      <c r="C25" t="s">
        <v>2649</v>
      </c>
      <c r="D25" t="s">
        <v>2292</v>
      </c>
      <c r="E25" s="2">
        <v>43254</v>
      </c>
      <c r="F25" t="s">
        <v>2653</v>
      </c>
      <c r="G25" s="5">
        <v>45000</v>
      </c>
      <c r="H25">
        <v>3.2</v>
      </c>
      <c r="I25" t="s">
        <v>2294</v>
      </c>
    </row>
    <row r="26" spans="1:9" x14ac:dyDescent="0.45">
      <c r="A26" t="s">
        <v>40</v>
      </c>
      <c r="B26" t="s">
        <v>2665</v>
      </c>
      <c r="C26" t="s">
        <v>2649</v>
      </c>
      <c r="D26" t="s">
        <v>2309</v>
      </c>
      <c r="E26" s="2">
        <v>43259</v>
      </c>
      <c r="F26" t="s">
        <v>2655</v>
      </c>
      <c r="G26" s="5">
        <v>65000</v>
      </c>
      <c r="H26">
        <v>4.7</v>
      </c>
      <c r="I26" t="s">
        <v>2294</v>
      </c>
    </row>
    <row r="29" spans="1:9" x14ac:dyDescent="0.45">
      <c r="F29" s="6" t="s">
        <v>2837</v>
      </c>
    </row>
    <row r="30" spans="1:9" x14ac:dyDescent="0.45">
      <c r="G30">
        <f>MATCH(MODE(G2:G26),G2:G26,0)</f>
        <v>1</v>
      </c>
      <c r="H30">
        <f>MATCH(80000,G2:G26,0)</f>
        <v>1</v>
      </c>
    </row>
    <row r="31" spans="1:9" x14ac:dyDescent="0.45">
      <c r="G31">
        <f>MODE(G2:G26)</f>
        <v>80000</v>
      </c>
    </row>
    <row r="32" spans="1:9" x14ac:dyDescent="0.45">
      <c r="G32">
        <f>INDEX(G2:G26,MATCH(MODE(G2:G26),G2:G26))</f>
        <v>80000</v>
      </c>
    </row>
  </sheetData>
  <autoFilter ref="A1:I26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zoomScale="115" zoomScaleNormal="115" workbookViewId="0">
      <pane ySplit="1" topLeftCell="A11" activePane="bottomLeft" state="frozen"/>
      <selection pane="bottomLeft" activeCell="J32" sqref="J32"/>
    </sheetView>
  </sheetViews>
  <sheetFormatPr defaultRowHeight="14.25" x14ac:dyDescent="0.45"/>
  <cols>
    <col min="1" max="8" width="12" customWidth="1"/>
    <col min="9" max="9" width="12" style="6" customWidth="1"/>
    <col min="10" max="13" width="12" customWidth="1"/>
  </cols>
  <sheetData>
    <row r="1" spans="1:13" x14ac:dyDescent="0.45">
      <c r="A1" s="1" t="s">
        <v>2666</v>
      </c>
      <c r="B1" s="1" t="s">
        <v>2667</v>
      </c>
      <c r="C1" s="1" t="s">
        <v>2668</v>
      </c>
      <c r="D1" s="1" t="s">
        <v>2669</v>
      </c>
      <c r="E1" s="1" t="s">
        <v>2670</v>
      </c>
      <c r="F1" s="1" t="s">
        <v>2671</v>
      </c>
      <c r="G1" s="1" t="s">
        <v>2672</v>
      </c>
      <c r="H1" s="1" t="s">
        <v>2673</v>
      </c>
      <c r="I1" s="1" t="s">
        <v>2674</v>
      </c>
      <c r="J1" s="1" t="s">
        <v>2675</v>
      </c>
      <c r="K1" s="1" t="s">
        <v>2676</v>
      </c>
      <c r="L1" s="1" t="s">
        <v>2677</v>
      </c>
      <c r="M1" s="1" t="s">
        <v>2678</v>
      </c>
    </row>
    <row r="2" spans="1:13" x14ac:dyDescent="0.45">
      <c r="A2" t="s">
        <v>97</v>
      </c>
      <c r="B2">
        <v>550000</v>
      </c>
      <c r="C2">
        <v>596000</v>
      </c>
      <c r="D2">
        <v>595000</v>
      </c>
      <c r="E2">
        <v>617000</v>
      </c>
      <c r="F2">
        <v>629000</v>
      </c>
      <c r="G2">
        <v>677000</v>
      </c>
      <c r="H2">
        <v>656000</v>
      </c>
      <c r="I2" s="6">
        <v>710000</v>
      </c>
      <c r="J2">
        <v>725000</v>
      </c>
      <c r="K2">
        <v>727000</v>
      </c>
      <c r="L2">
        <v>763000</v>
      </c>
      <c r="M2">
        <v>721000</v>
      </c>
    </row>
    <row r="3" spans="1:13" x14ac:dyDescent="0.45">
      <c r="A3" t="s">
        <v>35</v>
      </c>
      <c r="B3">
        <v>673000</v>
      </c>
      <c r="C3">
        <v>645000</v>
      </c>
      <c r="D3">
        <v>692000</v>
      </c>
      <c r="E3">
        <v>663000</v>
      </c>
      <c r="F3">
        <v>690000</v>
      </c>
      <c r="G3">
        <v>724000</v>
      </c>
      <c r="H3">
        <v>703000</v>
      </c>
      <c r="I3" s="6">
        <v>720000</v>
      </c>
      <c r="J3">
        <v>786000</v>
      </c>
      <c r="K3">
        <v>795000</v>
      </c>
      <c r="L3">
        <v>812000</v>
      </c>
      <c r="M3">
        <v>836000</v>
      </c>
    </row>
    <row r="4" spans="1:13" x14ac:dyDescent="0.45">
      <c r="A4" t="s">
        <v>127</v>
      </c>
      <c r="B4">
        <v>432000</v>
      </c>
      <c r="C4">
        <v>423000</v>
      </c>
      <c r="D4">
        <v>442000</v>
      </c>
      <c r="E4">
        <v>464000</v>
      </c>
      <c r="F4">
        <v>454000</v>
      </c>
      <c r="G4">
        <v>504000</v>
      </c>
      <c r="H4">
        <v>516000</v>
      </c>
      <c r="I4" s="6">
        <v>480000</v>
      </c>
      <c r="J4">
        <v>499000</v>
      </c>
      <c r="K4">
        <v>545000</v>
      </c>
      <c r="L4">
        <v>556000</v>
      </c>
      <c r="M4">
        <v>534000</v>
      </c>
    </row>
    <row r="5" spans="1:13" x14ac:dyDescent="0.45">
      <c r="A5" t="s">
        <v>31</v>
      </c>
      <c r="B5">
        <v>717000</v>
      </c>
      <c r="C5">
        <v>766000</v>
      </c>
      <c r="D5">
        <v>769000</v>
      </c>
      <c r="E5">
        <v>805000</v>
      </c>
      <c r="F5">
        <v>833000</v>
      </c>
      <c r="G5">
        <v>845000</v>
      </c>
      <c r="H5">
        <v>915000</v>
      </c>
      <c r="I5" s="6">
        <v>910000</v>
      </c>
      <c r="J5">
        <v>886000</v>
      </c>
      <c r="K5">
        <v>929000</v>
      </c>
      <c r="L5">
        <v>943000</v>
      </c>
      <c r="M5">
        <v>1012000</v>
      </c>
    </row>
    <row r="6" spans="1:13" x14ac:dyDescent="0.45">
      <c r="A6" t="s">
        <v>225</v>
      </c>
      <c r="B6">
        <v>795000</v>
      </c>
      <c r="C6">
        <v>791000</v>
      </c>
      <c r="D6">
        <v>791000</v>
      </c>
      <c r="E6">
        <v>884000</v>
      </c>
      <c r="F6">
        <v>889000</v>
      </c>
      <c r="G6">
        <v>903000</v>
      </c>
      <c r="H6">
        <v>881000</v>
      </c>
      <c r="I6" s="6">
        <v>911000</v>
      </c>
      <c r="J6">
        <v>908000</v>
      </c>
      <c r="K6">
        <v>968000</v>
      </c>
      <c r="L6">
        <v>1027000</v>
      </c>
      <c r="M6">
        <v>1036000</v>
      </c>
    </row>
    <row r="7" spans="1:13" x14ac:dyDescent="0.45">
      <c r="A7" t="s">
        <v>144</v>
      </c>
      <c r="B7">
        <v>881000</v>
      </c>
      <c r="C7">
        <v>902000</v>
      </c>
      <c r="D7">
        <v>976000</v>
      </c>
      <c r="E7">
        <v>983000</v>
      </c>
      <c r="F7">
        <v>1046000</v>
      </c>
      <c r="G7">
        <v>1081000</v>
      </c>
      <c r="H7">
        <v>1070000</v>
      </c>
      <c r="I7" s="6">
        <v>1068000</v>
      </c>
      <c r="J7">
        <v>1050000</v>
      </c>
      <c r="K7">
        <v>1078000</v>
      </c>
      <c r="L7">
        <v>1174000</v>
      </c>
      <c r="M7">
        <v>1129000</v>
      </c>
    </row>
    <row r="8" spans="1:13" x14ac:dyDescent="0.45">
      <c r="A8" t="s">
        <v>115</v>
      </c>
      <c r="B8">
        <v>923000</v>
      </c>
      <c r="C8">
        <v>888000</v>
      </c>
      <c r="D8">
        <v>985000</v>
      </c>
      <c r="E8">
        <v>970000</v>
      </c>
      <c r="F8">
        <v>967000</v>
      </c>
      <c r="G8">
        <v>983000</v>
      </c>
      <c r="H8">
        <v>1002000</v>
      </c>
      <c r="I8" s="6">
        <v>1013000</v>
      </c>
      <c r="J8">
        <v>1059000</v>
      </c>
      <c r="K8">
        <v>1105000</v>
      </c>
      <c r="L8">
        <v>1144000</v>
      </c>
      <c r="M8">
        <v>1117000</v>
      </c>
    </row>
    <row r="9" spans="1:13" x14ac:dyDescent="0.45">
      <c r="A9" t="s">
        <v>218</v>
      </c>
      <c r="B9">
        <v>452000</v>
      </c>
      <c r="C9">
        <v>525000</v>
      </c>
      <c r="D9">
        <v>535000</v>
      </c>
      <c r="E9">
        <v>539000</v>
      </c>
      <c r="F9">
        <v>533000</v>
      </c>
      <c r="G9">
        <v>547000</v>
      </c>
      <c r="H9">
        <v>540000</v>
      </c>
      <c r="I9" s="6">
        <v>577000</v>
      </c>
      <c r="J9">
        <v>576000</v>
      </c>
      <c r="K9">
        <v>579000</v>
      </c>
      <c r="L9">
        <v>587000</v>
      </c>
      <c r="M9">
        <v>602000</v>
      </c>
    </row>
    <row r="10" spans="1:13" x14ac:dyDescent="0.45">
      <c r="A10" t="s">
        <v>152</v>
      </c>
      <c r="B10">
        <v>590000</v>
      </c>
      <c r="C10">
        <v>640000</v>
      </c>
      <c r="D10">
        <v>670000</v>
      </c>
      <c r="E10">
        <v>638000</v>
      </c>
      <c r="F10">
        <v>642000</v>
      </c>
      <c r="G10">
        <v>705000</v>
      </c>
      <c r="H10">
        <v>730000</v>
      </c>
      <c r="I10" s="6">
        <v>738000</v>
      </c>
      <c r="J10">
        <v>753000</v>
      </c>
      <c r="K10">
        <v>752000</v>
      </c>
      <c r="L10">
        <v>772000</v>
      </c>
      <c r="M10">
        <v>788000</v>
      </c>
    </row>
    <row r="11" spans="1:13" x14ac:dyDescent="0.45">
      <c r="A11" t="s">
        <v>101</v>
      </c>
      <c r="B11">
        <v>414000</v>
      </c>
      <c r="C11">
        <v>442000</v>
      </c>
      <c r="D11">
        <v>413000</v>
      </c>
      <c r="E11">
        <v>432000</v>
      </c>
      <c r="F11">
        <v>440000</v>
      </c>
      <c r="G11">
        <v>432000</v>
      </c>
      <c r="H11">
        <v>477000</v>
      </c>
      <c r="I11" s="6">
        <v>480000</v>
      </c>
      <c r="J11">
        <v>470000</v>
      </c>
      <c r="K11">
        <v>508000</v>
      </c>
      <c r="L11">
        <v>492000</v>
      </c>
      <c r="M11">
        <v>518000</v>
      </c>
    </row>
    <row r="12" spans="1:13" x14ac:dyDescent="0.45">
      <c r="A12" t="s">
        <v>281</v>
      </c>
      <c r="B12">
        <v>828000</v>
      </c>
      <c r="C12">
        <v>823000</v>
      </c>
      <c r="D12">
        <v>826000</v>
      </c>
      <c r="E12">
        <v>880000</v>
      </c>
      <c r="F12">
        <v>898000</v>
      </c>
      <c r="G12">
        <v>921000</v>
      </c>
      <c r="H12">
        <v>871000</v>
      </c>
      <c r="I12" s="6">
        <v>882000</v>
      </c>
      <c r="J12">
        <v>904000</v>
      </c>
      <c r="K12">
        <v>937000</v>
      </c>
      <c r="L12">
        <v>1011000</v>
      </c>
      <c r="M12">
        <v>1026000</v>
      </c>
    </row>
    <row r="13" spans="1:13" x14ac:dyDescent="0.45">
      <c r="A13" t="s">
        <v>58</v>
      </c>
      <c r="B13">
        <v>563000</v>
      </c>
      <c r="C13">
        <v>573000</v>
      </c>
      <c r="D13">
        <v>570000</v>
      </c>
      <c r="E13">
        <v>553000</v>
      </c>
      <c r="F13">
        <v>566000</v>
      </c>
      <c r="G13">
        <v>624000</v>
      </c>
      <c r="H13">
        <v>606000</v>
      </c>
      <c r="I13" s="6">
        <v>651000</v>
      </c>
      <c r="J13">
        <v>629000</v>
      </c>
      <c r="K13">
        <v>657000</v>
      </c>
      <c r="L13">
        <v>662000</v>
      </c>
      <c r="M13">
        <v>651000</v>
      </c>
    </row>
    <row r="14" spans="1:13" x14ac:dyDescent="0.45">
      <c r="A14" t="s">
        <v>136</v>
      </c>
      <c r="B14">
        <v>452000</v>
      </c>
      <c r="C14">
        <v>447000</v>
      </c>
      <c r="D14">
        <v>477000</v>
      </c>
      <c r="E14">
        <v>440000</v>
      </c>
      <c r="F14">
        <v>495000</v>
      </c>
      <c r="G14">
        <v>485000</v>
      </c>
      <c r="H14">
        <v>515000</v>
      </c>
      <c r="I14" s="6">
        <v>499000</v>
      </c>
      <c r="J14">
        <v>505000</v>
      </c>
      <c r="K14">
        <v>502000</v>
      </c>
      <c r="L14">
        <v>557000</v>
      </c>
      <c r="M14">
        <v>528000</v>
      </c>
    </row>
    <row r="15" spans="1:13" x14ac:dyDescent="0.45">
      <c r="A15" t="s">
        <v>13</v>
      </c>
      <c r="B15">
        <v>547000</v>
      </c>
      <c r="C15">
        <v>607000</v>
      </c>
      <c r="D15">
        <v>614000</v>
      </c>
      <c r="E15">
        <v>634000</v>
      </c>
      <c r="F15">
        <v>588000</v>
      </c>
      <c r="G15">
        <v>653000</v>
      </c>
      <c r="H15">
        <v>618000</v>
      </c>
      <c r="I15" s="6">
        <v>625000</v>
      </c>
      <c r="J15">
        <v>656000</v>
      </c>
      <c r="K15">
        <v>717000</v>
      </c>
      <c r="L15">
        <v>682000</v>
      </c>
      <c r="M15">
        <v>678000</v>
      </c>
    </row>
    <row r="16" spans="1:13" x14ac:dyDescent="0.45">
      <c r="A16" t="s">
        <v>85</v>
      </c>
      <c r="B16">
        <v>739000</v>
      </c>
      <c r="C16">
        <v>805000</v>
      </c>
      <c r="D16">
        <v>766000</v>
      </c>
      <c r="E16">
        <v>843000</v>
      </c>
      <c r="F16">
        <v>835000</v>
      </c>
      <c r="G16">
        <v>881000</v>
      </c>
      <c r="H16">
        <v>834000</v>
      </c>
      <c r="I16" s="6">
        <v>904000</v>
      </c>
      <c r="J16">
        <v>924000</v>
      </c>
      <c r="K16">
        <v>921000</v>
      </c>
      <c r="L16">
        <v>994000</v>
      </c>
      <c r="M16">
        <v>956000</v>
      </c>
    </row>
    <row r="17" spans="1:13" x14ac:dyDescent="0.45">
      <c r="A17" t="s">
        <v>47</v>
      </c>
      <c r="B17">
        <v>433000</v>
      </c>
      <c r="C17">
        <v>455000</v>
      </c>
      <c r="D17">
        <v>477000</v>
      </c>
      <c r="E17">
        <v>485000</v>
      </c>
      <c r="F17">
        <v>488000</v>
      </c>
      <c r="G17">
        <v>486000</v>
      </c>
      <c r="H17">
        <v>468000</v>
      </c>
      <c r="I17" s="6">
        <v>478000</v>
      </c>
      <c r="J17">
        <v>529000</v>
      </c>
      <c r="K17">
        <v>512000</v>
      </c>
      <c r="L17">
        <v>558000</v>
      </c>
      <c r="M17">
        <v>538000</v>
      </c>
    </row>
    <row r="18" spans="1:13" x14ac:dyDescent="0.45">
      <c r="A18" t="s">
        <v>140</v>
      </c>
      <c r="B18">
        <v>475000</v>
      </c>
      <c r="C18">
        <v>499000</v>
      </c>
      <c r="D18">
        <v>485000</v>
      </c>
      <c r="E18">
        <v>538000</v>
      </c>
      <c r="F18">
        <v>517000</v>
      </c>
      <c r="G18">
        <v>529000</v>
      </c>
      <c r="H18">
        <v>567000</v>
      </c>
      <c r="I18" s="6">
        <v>571000</v>
      </c>
      <c r="J18">
        <v>567000</v>
      </c>
      <c r="K18">
        <v>613000</v>
      </c>
      <c r="L18">
        <v>631000</v>
      </c>
      <c r="M18">
        <v>603000</v>
      </c>
    </row>
    <row r="19" spans="1:13" x14ac:dyDescent="0.45">
      <c r="A19" t="s">
        <v>52</v>
      </c>
      <c r="B19">
        <v>772000</v>
      </c>
      <c r="C19">
        <v>775000</v>
      </c>
      <c r="D19">
        <v>871000</v>
      </c>
      <c r="E19">
        <v>887000</v>
      </c>
      <c r="F19">
        <v>854000</v>
      </c>
      <c r="G19">
        <v>856000</v>
      </c>
      <c r="H19">
        <v>926000</v>
      </c>
      <c r="I19" s="6">
        <v>885000</v>
      </c>
      <c r="J19">
        <v>965000</v>
      </c>
      <c r="K19">
        <v>970000</v>
      </c>
      <c r="L19">
        <v>947000</v>
      </c>
      <c r="M19">
        <v>986000</v>
      </c>
    </row>
    <row r="20" spans="1:13" x14ac:dyDescent="0.45">
      <c r="A20" t="s">
        <v>197</v>
      </c>
      <c r="B20">
        <v>948000</v>
      </c>
      <c r="C20">
        <v>921000</v>
      </c>
      <c r="D20">
        <v>975000</v>
      </c>
      <c r="E20">
        <v>1013000</v>
      </c>
      <c r="F20">
        <v>1018000</v>
      </c>
      <c r="G20">
        <v>1037000</v>
      </c>
      <c r="H20">
        <v>996000</v>
      </c>
      <c r="I20" s="6">
        <v>1025000</v>
      </c>
      <c r="J20">
        <v>1133000</v>
      </c>
      <c r="K20">
        <v>1063000</v>
      </c>
      <c r="L20">
        <v>1094000</v>
      </c>
      <c r="M20">
        <v>1154000</v>
      </c>
    </row>
    <row r="21" spans="1:13" x14ac:dyDescent="0.45">
      <c r="A21" t="s">
        <v>82</v>
      </c>
      <c r="B21">
        <v>485000</v>
      </c>
      <c r="C21">
        <v>492000</v>
      </c>
      <c r="D21">
        <v>484000</v>
      </c>
      <c r="E21">
        <v>530000</v>
      </c>
      <c r="F21">
        <v>538000</v>
      </c>
      <c r="G21">
        <v>529000</v>
      </c>
      <c r="H21">
        <v>563000</v>
      </c>
      <c r="I21" s="6">
        <v>575000</v>
      </c>
      <c r="J21">
        <v>563000</v>
      </c>
      <c r="K21">
        <v>596000</v>
      </c>
      <c r="L21">
        <v>578000</v>
      </c>
      <c r="M21">
        <v>633000</v>
      </c>
    </row>
    <row r="22" spans="1:13" x14ac:dyDescent="0.45">
      <c r="A22" t="s">
        <v>25</v>
      </c>
      <c r="B22">
        <v>483000</v>
      </c>
      <c r="C22">
        <v>501000</v>
      </c>
      <c r="D22">
        <v>492000</v>
      </c>
      <c r="E22">
        <v>535000</v>
      </c>
      <c r="F22">
        <v>529000</v>
      </c>
      <c r="G22">
        <v>548000</v>
      </c>
      <c r="H22">
        <v>571000</v>
      </c>
      <c r="I22" s="6">
        <v>586000</v>
      </c>
      <c r="J22">
        <v>606000</v>
      </c>
      <c r="K22">
        <v>580000</v>
      </c>
      <c r="L22">
        <v>595000</v>
      </c>
      <c r="M22">
        <v>592000</v>
      </c>
    </row>
    <row r="23" spans="1:13" x14ac:dyDescent="0.45">
      <c r="A23" t="s">
        <v>20</v>
      </c>
      <c r="B23">
        <v>837000</v>
      </c>
      <c r="C23">
        <v>827000</v>
      </c>
      <c r="D23">
        <v>925000</v>
      </c>
      <c r="E23">
        <v>881000</v>
      </c>
      <c r="F23">
        <v>867000</v>
      </c>
      <c r="G23">
        <v>959000</v>
      </c>
      <c r="H23">
        <v>1005000</v>
      </c>
      <c r="I23" s="6">
        <v>1018000</v>
      </c>
      <c r="J23">
        <v>1021000</v>
      </c>
      <c r="K23">
        <v>985000</v>
      </c>
      <c r="L23">
        <v>1000000</v>
      </c>
      <c r="M23">
        <v>1066000</v>
      </c>
    </row>
    <row r="24" spans="1:13" x14ac:dyDescent="0.45">
      <c r="A24" t="s">
        <v>72</v>
      </c>
      <c r="B24">
        <v>507000</v>
      </c>
      <c r="C24">
        <v>503000</v>
      </c>
      <c r="D24">
        <v>503000</v>
      </c>
      <c r="E24">
        <v>547000</v>
      </c>
      <c r="F24">
        <v>515000</v>
      </c>
      <c r="G24">
        <v>514000</v>
      </c>
      <c r="H24">
        <v>573000</v>
      </c>
      <c r="I24" s="6">
        <v>588000</v>
      </c>
      <c r="J24">
        <v>599000</v>
      </c>
      <c r="K24">
        <v>580000</v>
      </c>
      <c r="L24">
        <v>612000</v>
      </c>
      <c r="M24">
        <v>608000</v>
      </c>
    </row>
    <row r="25" spans="1:13" x14ac:dyDescent="0.45">
      <c r="A25" t="s">
        <v>111</v>
      </c>
      <c r="B25">
        <v>457000</v>
      </c>
      <c r="C25">
        <v>510000</v>
      </c>
      <c r="D25">
        <v>478000</v>
      </c>
      <c r="E25">
        <v>539000</v>
      </c>
      <c r="F25">
        <v>540000</v>
      </c>
      <c r="G25">
        <v>521000</v>
      </c>
      <c r="H25">
        <v>545000</v>
      </c>
      <c r="I25" s="6">
        <v>561000</v>
      </c>
      <c r="J25">
        <v>585000</v>
      </c>
      <c r="K25">
        <v>612000</v>
      </c>
      <c r="L25">
        <v>576000</v>
      </c>
      <c r="M25">
        <v>632000</v>
      </c>
    </row>
    <row r="26" spans="1:13" x14ac:dyDescent="0.45">
      <c r="A26" t="s">
        <v>40</v>
      </c>
      <c r="B26">
        <v>507000</v>
      </c>
      <c r="C26">
        <v>539000</v>
      </c>
      <c r="D26">
        <v>556000</v>
      </c>
      <c r="E26">
        <v>595000</v>
      </c>
      <c r="F26">
        <v>598000</v>
      </c>
      <c r="G26">
        <v>597000</v>
      </c>
      <c r="H26">
        <v>606000</v>
      </c>
      <c r="I26" s="6">
        <v>651000</v>
      </c>
      <c r="J26">
        <v>615000</v>
      </c>
      <c r="K26">
        <v>626000</v>
      </c>
      <c r="L26">
        <v>680000</v>
      </c>
      <c r="M26">
        <v>710000</v>
      </c>
    </row>
    <row r="29" spans="1:13" x14ac:dyDescent="0.45">
      <c r="C29" s="6" t="s">
        <v>2826</v>
      </c>
      <c r="H29" t="s">
        <v>2827</v>
      </c>
    </row>
    <row r="30" spans="1:13" x14ac:dyDescent="0.45">
      <c r="C30">
        <f>INDEX(B2:E26,MATCH("EMP-005",A2:A26,0),MATCH("Mar",B1:D1,0))</f>
        <v>791000</v>
      </c>
      <c r="D30">
        <f>INDEX(B2:D26,5,3)</f>
        <v>791000</v>
      </c>
    </row>
    <row r="31" spans="1:13" x14ac:dyDescent="0.45">
      <c r="B31" t="s">
        <v>2780</v>
      </c>
      <c r="C31">
        <f>MATCH("EMP-005",A2:A26,0)</f>
        <v>5</v>
      </c>
    </row>
    <row r="32" spans="1:13" x14ac:dyDescent="0.45">
      <c r="B32" t="s">
        <v>2825</v>
      </c>
      <c r="C32">
        <f>MATCH("Mar",B1:D1,)</f>
        <v>3</v>
      </c>
    </row>
    <row r="34" spans="3:3" x14ac:dyDescent="0.45">
      <c r="C34" s="6" t="s">
        <v>2828</v>
      </c>
    </row>
    <row r="35" spans="3:3" x14ac:dyDescent="0.45">
      <c r="C35">
        <f>INDEX(B2:H26,MATCH("EMP-016",A2:A26,0),MATCH("Jul",B1:H1,0))</f>
        <v>468000</v>
      </c>
    </row>
    <row r="37" spans="3:3" x14ac:dyDescent="0.45">
      <c r="C37" s="6" t="s">
        <v>2829</v>
      </c>
    </row>
    <row r="38" spans="3:3" x14ac:dyDescent="0.45">
      <c r="C38">
        <f>INDEX(B2:I26,MATCH("EMP-019",A2:A26,0),MATCH("Aug",B1:I1,0))</f>
        <v>1025000</v>
      </c>
    </row>
  </sheetData>
  <autoFilter ref="A1:M26" xr:uid="{00000000-0009-0000-0000-000005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</vt:lpstr>
      <vt:lpstr>Sheet1</vt:lpstr>
      <vt:lpstr>Product_Master</vt:lpstr>
      <vt:lpstr>VLOOKUP</vt:lpstr>
      <vt:lpstr>Customer_Master</vt:lpstr>
      <vt:lpstr>Employee_Master</vt:lpstr>
      <vt:lpstr>Monthly_Targets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 YADAV</cp:lastModifiedBy>
  <dcterms:created xsi:type="dcterms:W3CDTF">2026-07-15T06:14:17Z</dcterms:created>
  <dcterms:modified xsi:type="dcterms:W3CDTF">2026-07-16T17:12:21Z</dcterms:modified>
</cp:coreProperties>
</file>