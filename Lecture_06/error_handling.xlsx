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\Desktop\lectures\"/>
    </mc:Choice>
  </mc:AlternateContent>
  <xr:revisionPtr revIDLastSave="0" documentId="13_ncr:1_{1EFBA37E-4003-4125-9534-A003DC07F05A}" xr6:coauthVersionLast="47" xr6:coauthVersionMax="47" xr10:uidLastSave="{00000000-0000-0000-0000-000000000000}"/>
  <bookViews>
    <workbookView xWindow="34452" yWindow="-108" windowWidth="23256" windowHeight="13176" activeTab="1" xr2:uid="{208785B4-6B3F-40A4-BCCD-7039A2808048}"/>
  </bookViews>
  <sheets>
    <sheet name="Customer" sheetId="1" r:id="rId1"/>
    <sheet name="Data Validation" sheetId="3" r:id="rId2"/>
    <sheet name="Erro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3" i="2" l="1"/>
  <c r="C79" i="2"/>
  <c r="C78" i="2"/>
  <c r="C77" i="2"/>
  <c r="F52" i="2"/>
  <c r="E52" i="2"/>
  <c r="G23" i="2"/>
  <c r="F23" i="2"/>
  <c r="G42" i="2" a="1"/>
  <c r="G42" i="2"/>
  <c r="E47" i="2"/>
  <c r="N13" i="1"/>
  <c r="M13" i="1"/>
  <c r="N3" i="1"/>
  <c r="N4" i="1"/>
  <c r="N5" i="1"/>
  <c r="N6" i="1"/>
  <c r="N7" i="1"/>
  <c r="N8" i="1"/>
  <c r="N9" i="1"/>
  <c r="N10" i="1"/>
  <c r="N11" i="1"/>
  <c r="N12" i="1"/>
  <c r="N2" i="1"/>
  <c r="M2" i="1"/>
  <c r="M3" i="1"/>
  <c r="E57" i="2"/>
  <c r="D57" i="2"/>
  <c r="C57" i="2"/>
  <c r="D47" i="2"/>
  <c r="C47" i="2"/>
  <c r="C46" i="2"/>
  <c r="C41" i="2"/>
  <c r="M4" i="1"/>
  <c r="M5" i="1"/>
  <c r="M6" i="1"/>
  <c r="M7" i="1"/>
  <c r="M8" i="1"/>
  <c r="M9" i="1"/>
  <c r="M10" i="1"/>
  <c r="M11" i="1"/>
  <c r="M12" i="1"/>
  <c r="L3" i="1"/>
  <c r="L4" i="1"/>
  <c r="L5" i="1"/>
  <c r="L6" i="1"/>
  <c r="L7" i="1"/>
  <c r="L8" i="1"/>
  <c r="L9" i="1"/>
  <c r="L10" i="1"/>
  <c r="L11" i="1"/>
  <c r="L12" i="1"/>
  <c r="L13" i="1"/>
  <c r="L2" i="1"/>
  <c r="D31" i="2"/>
  <c r="D27" i="2"/>
  <c r="C20" i="2"/>
  <c r="E22" i="2"/>
  <c r="C11" i="2"/>
  <c r="D11" i="2"/>
  <c r="C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<sst xmlns="http://schemas.openxmlformats.org/spreadsheetml/2006/main" count="609" uniqueCount="185">
  <si>
    <t>Customer ID</t>
  </si>
  <si>
    <t>Customer Name</t>
  </si>
  <si>
    <t>Customer Segment</t>
  </si>
  <si>
    <t>City</t>
  </si>
  <si>
    <t>State</t>
  </si>
  <si>
    <t>Region</t>
  </si>
  <si>
    <t>Registration Date</t>
  </si>
  <si>
    <t>Loyalty Tier</t>
  </si>
  <si>
    <t>Account Status</t>
  </si>
  <si>
    <t>CUST-0001</t>
  </si>
  <si>
    <t>Akash Agarwal</t>
  </si>
  <si>
    <t>Consumer</t>
  </si>
  <si>
    <t>Ahmedabad</t>
  </si>
  <si>
    <t>Gujarat</t>
  </si>
  <si>
    <t>West</t>
  </si>
  <si>
    <t>Gold</t>
  </si>
  <si>
    <t>Active</t>
  </si>
  <si>
    <t>CUST-0002</t>
  </si>
  <si>
    <t>Mohit Gupta</t>
  </si>
  <si>
    <t>Hyderabad</t>
  </si>
  <si>
    <t>Telangana</t>
  </si>
  <si>
    <t>South</t>
  </si>
  <si>
    <t>Platinum</t>
  </si>
  <si>
    <t>CUST-0003</t>
  </si>
  <si>
    <t>Meera Yadav</t>
  </si>
  <si>
    <t>CUST-0004</t>
  </si>
  <si>
    <t>Neha Rao</t>
  </si>
  <si>
    <t>SME</t>
  </si>
  <si>
    <t>Pune</t>
  </si>
  <si>
    <t>Maharashtra</t>
  </si>
  <si>
    <t>Silver</t>
  </si>
  <si>
    <t>CUST-0005</t>
  </si>
  <si>
    <t>Karan Singh</t>
  </si>
  <si>
    <t>Indore</t>
  </si>
  <si>
    <t>Madhya Pradesh</t>
  </si>
  <si>
    <t>Central</t>
  </si>
  <si>
    <t>Bronze</t>
  </si>
  <si>
    <t>CUST-0006</t>
  </si>
  <si>
    <t>Sai Yadav</t>
  </si>
  <si>
    <t>CUST-0007</t>
  </si>
  <si>
    <t>Meera Tiwari</t>
  </si>
  <si>
    <t>Bengaluru</t>
  </si>
  <si>
    <t>Karnataka</t>
  </si>
  <si>
    <t>CUST-0008</t>
  </si>
  <si>
    <t>Aarav Agarwal</t>
  </si>
  <si>
    <t>Lucknow</t>
  </si>
  <si>
    <t>Uttar Pradesh</t>
  </si>
  <si>
    <t>North</t>
  </si>
  <si>
    <t>CUST-0009</t>
  </si>
  <si>
    <t>Pooja Sharma</t>
  </si>
  <si>
    <t>Patna</t>
  </si>
  <si>
    <t>Bihar</t>
  </si>
  <si>
    <t>East</t>
  </si>
  <si>
    <t>CUST-0010</t>
  </si>
  <si>
    <t>Pooja Patel</t>
  </si>
  <si>
    <t>Nagpur</t>
  </si>
  <si>
    <t>Inactive</t>
  </si>
  <si>
    <t>CUST-0011</t>
  </si>
  <si>
    <t>Sanjay Kapoor</t>
  </si>
  <si>
    <t>CUST-0012</t>
  </si>
  <si>
    <t>Simran Patel</t>
  </si>
  <si>
    <t>CUST-0013</t>
  </si>
  <si>
    <t>Aarav Jain</t>
  </si>
  <si>
    <t>CUST-0014</t>
  </si>
  <si>
    <t>Rahul Jain</t>
  </si>
  <si>
    <t>Surat</t>
  </si>
  <si>
    <t>CUST-0015</t>
  </si>
  <si>
    <t>Kabir Malhotra</t>
  </si>
  <si>
    <t>CUST-0016</t>
  </si>
  <si>
    <t>Rahul Gupta</t>
  </si>
  <si>
    <t>CUST-0017</t>
  </si>
  <si>
    <t>Nisha Sharma</t>
  </si>
  <si>
    <t>CUST-0018</t>
  </si>
  <si>
    <t>Arjun Pandey</t>
  </si>
  <si>
    <t>CUST-0019</t>
  </si>
  <si>
    <t>Sanjay Kumar</t>
  </si>
  <si>
    <t>Kolkata</t>
  </si>
  <si>
    <t>West Bengal</t>
  </si>
  <si>
    <t>CUST-0020</t>
  </si>
  <si>
    <t>Akash Kumar</t>
  </si>
  <si>
    <t>CUST-0021</t>
  </si>
  <si>
    <t>Rohit Saxena</t>
  </si>
  <si>
    <t>Corporate</t>
  </si>
  <si>
    <t>Chandigarh</t>
  </si>
  <si>
    <t>CUST-0022</t>
  </si>
  <si>
    <t>Sai Kumar</t>
  </si>
  <si>
    <t>CUST-0023</t>
  </si>
  <si>
    <t>Karan Sinha</t>
  </si>
  <si>
    <t>CUST-0024</t>
  </si>
  <si>
    <t>Simran Agarwal</t>
  </si>
  <si>
    <t>CUST-0025</t>
  </si>
  <si>
    <t>Akash Gupta</t>
  </si>
  <si>
    <t>CUST-0026</t>
  </si>
  <si>
    <t>Akash Saxena</t>
  </si>
  <si>
    <t>CUST-0027</t>
  </si>
  <si>
    <t>Simran Gupta</t>
  </si>
  <si>
    <t>Guwahati</t>
  </si>
  <si>
    <t>Assam</t>
  </si>
  <si>
    <t>CUST-0028</t>
  </si>
  <si>
    <t>Riya Mishra</t>
  </si>
  <si>
    <t>CUST-0029</t>
  </si>
  <si>
    <t>Ankit Pandey</t>
  </si>
  <si>
    <t>CUST-0030</t>
  </si>
  <si>
    <t>Neha Patel</t>
  </si>
  <si>
    <t>CUST-0031</t>
  </si>
  <si>
    <t>Simran Chauhan</t>
  </si>
  <si>
    <t>Bhubaneswar</t>
  </si>
  <si>
    <t>Odisha</t>
  </si>
  <si>
    <t>CUST-0032</t>
  </si>
  <si>
    <t>Neha Yadav</t>
  </si>
  <si>
    <t>CUST-0033</t>
  </si>
  <si>
    <t>Rahul Malhotra</t>
  </si>
  <si>
    <t>CUST-0034</t>
  </si>
  <si>
    <t>Aditya Patel</t>
  </si>
  <si>
    <t>Common Erros in Excel</t>
  </si>
  <si>
    <t>1. #N/A Error</t>
  </si>
  <si>
    <t>This error in excel means it cannot find the value you're looking for/asking for.</t>
  </si>
  <si>
    <t>It's like searching an emp_id but it doesn’t exist in employee's record</t>
  </si>
  <si>
    <t>Example: We want to find or lookup a value againsy "CUST-0035" that doesn't exist in data.</t>
  </si>
  <si>
    <t>Normal Lookup Function</t>
  </si>
  <si>
    <t>Fixing with</t>
  </si>
  <si>
    <t>If a customer is missing, so what our report will show? Now it will show the correct error we have entered.</t>
  </si>
  <si>
    <r>
      <t xml:space="preserve">We use </t>
    </r>
    <r>
      <rPr>
        <b/>
        <sz val="11"/>
        <color theme="1"/>
        <rFont val="Aptos Narrow"/>
        <family val="2"/>
        <scheme val="minor"/>
      </rPr>
      <t xml:space="preserve">IFNA Function </t>
    </r>
    <r>
      <rPr>
        <sz val="11"/>
        <color theme="1"/>
        <rFont val="Aptos Narrow"/>
        <family val="2"/>
        <scheme val="minor"/>
      </rPr>
      <t xml:space="preserve"> to handle these #N/A errors</t>
    </r>
  </si>
  <si>
    <t>Syntax: IFNA(value,value if na)</t>
  </si>
  <si>
    <t xml:space="preserve">Error Handling </t>
  </si>
  <si>
    <t>2. #VALUE! Error</t>
  </si>
  <si>
    <t>It happens when Excel gets the wrong data type, Like trying to add text with numbers.</t>
  </si>
  <si>
    <t>Example:</t>
  </si>
  <si>
    <t>"Mobile"+ 2500</t>
  </si>
  <si>
    <t>Usecase: It is mainly used for the values stored as a text when we used to import CSV files</t>
  </si>
  <si>
    <t>2600</t>
  </si>
  <si>
    <t>Value Function returns the given text value as a nu,merical value</t>
  </si>
  <si>
    <t>3. #REF! Error</t>
  </si>
  <si>
    <t>It indicates that our reference is wrong. It happens when the cell we are pointing is deleted</t>
  </si>
  <si>
    <t>4. #DIV/0! Error</t>
  </si>
  <si>
    <t>It tells us that for some reason the denominator is 0</t>
  </si>
  <si>
    <t>Unit price</t>
  </si>
  <si>
    <t>Total price</t>
  </si>
  <si>
    <t>Quantity</t>
  </si>
  <si>
    <t>If the denominator value is 0 then tell that "check the Denominator value</t>
  </si>
  <si>
    <t>Total Price</t>
  </si>
  <si>
    <t>Unit Price</t>
  </si>
  <si>
    <t>In Finance, we don't use 0 to show can't divide by zero or undefined value We can write "N/A"</t>
  </si>
  <si>
    <t>5. #NAME? Error</t>
  </si>
  <si>
    <t>This error happens when we try to type a wrong formula, or spelling mistake in formula</t>
  </si>
  <si>
    <t>[=AVERAGE?]</t>
  </si>
  <si>
    <t>It will also show #NAME? error</t>
  </si>
  <si>
    <t>6. #NUM! Error</t>
  </si>
  <si>
    <t>It tells that there is invalid numerical calculation. Like asking excel to calculate something that's mathematically Impossible</t>
  </si>
  <si>
    <t>I am asking the Square root of -25</t>
  </si>
  <si>
    <t>It is telling that we have entered a wrong input that is practiclly impossible to calculate</t>
  </si>
  <si>
    <t>7. #NULL! Error</t>
  </si>
  <si>
    <t>It happens when we select a wrong range</t>
  </si>
  <si>
    <t>Possible causes: It might be due to typing mistake or a logical mistake</t>
  </si>
  <si>
    <t>8. ######## Error</t>
  </si>
  <si>
    <t>It indicates that the column is too narrow or an invalid date</t>
  </si>
  <si>
    <t>Error</t>
  </si>
  <si>
    <t>Error Handling Functions</t>
  </si>
  <si>
    <t>1. IFERROR</t>
  </si>
  <si>
    <t>Div/0</t>
  </si>
  <si>
    <t>sh</t>
  </si>
  <si>
    <t>SYNTAX : =IFERROR(value,value_if_error)</t>
  </si>
  <si>
    <t>It will work on each and every error handling by custom input</t>
  </si>
  <si>
    <t>2. IFNA Function</t>
  </si>
  <si>
    <t xml:space="preserve"> It is very important in lookups for handling #N/A errors</t>
  </si>
  <si>
    <t>Check for the state of "CUST-00281" if available using VLOOKUP and make sure the value don't show any error</t>
  </si>
  <si>
    <t>It returns a custom value instead of showing an error</t>
  </si>
  <si>
    <r>
      <t xml:space="preserve">It handles only and only </t>
    </r>
    <r>
      <rPr>
        <b/>
        <sz val="11"/>
        <color theme="1"/>
        <rFont val="Aptos Narrow"/>
        <family val="2"/>
        <scheme val="minor"/>
      </rPr>
      <t>#N/A</t>
    </r>
    <r>
      <rPr>
        <sz val="11"/>
        <color theme="1"/>
        <rFont val="Aptos Narrow"/>
        <family val="2"/>
        <scheme val="minor"/>
      </rPr>
      <t xml:space="preserve"> errors</t>
    </r>
  </si>
  <si>
    <t>3. ERROR.TYPE</t>
  </si>
  <si>
    <t>It returns a numeric code for each error</t>
  </si>
  <si>
    <t>Business Usecase: If you are working in a big data 1Lakh+ record , at that time we use Error type to debug formula's error</t>
  </si>
  <si>
    <t>It will help us to identify the error using error codes</t>
  </si>
  <si>
    <t>4. ISERROR/ISNA/ISERR</t>
  </si>
  <si>
    <t>ISERROR: It can handle any error</t>
  </si>
  <si>
    <t>ISNA: It will handle only #N/A error</t>
  </si>
  <si>
    <t>ISERR: It will handle all errors except #N/A</t>
  </si>
  <si>
    <t xml:space="preserve">DATA VALIDATION </t>
  </si>
  <si>
    <t xml:space="preserve"> DATA VALIDATION</t>
  </si>
  <si>
    <t>It prevents the invalid entry, but can't apply to the entries which are made previously bfore applying our validation</t>
  </si>
  <si>
    <t>It standarsize the datasets</t>
  </si>
  <si>
    <t>Improves the reporting accuracy</t>
  </si>
  <si>
    <t>AGE</t>
  </si>
  <si>
    <t>Enter the Age in the customers table and make sure it is in whole number</t>
  </si>
  <si>
    <t>Entry Time</t>
  </si>
  <si>
    <t>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</si>
</sst>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u/>
      <sz val="16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3" fillId="0" borderId="0" xfId="0" applyFont="1"/>
    <xf numFmtId="49" fontId="0" fillId="0" borderId="0" xfId="0" applyNumberFormat="1"/>
    <xf numFmtId="2" fontId="0" fillId="0" borderId="0" xfId="0" applyNumberFormat="1"/>
    <xf numFmtId="0" fontId="4" fillId="0" borderId="0" xfId="0" applyFont="1"/>
    <xf numFmtId="0" fontId="5" fillId="0" borderId="0" xfId="0" applyFont="1"/>
    <xf numFmtId="0" fontId="1" fillId="3" borderId="1" xfId="0" applyFont="1" applyFill="1" applyBorder="1"/>
    <xf numFmtId="0" fontId="1" fillId="3" borderId="0" xfId="0" applyFont="1" applyFill="1" applyBorder="1"/>
    <xf numFmtId="0" fontId="1" fillId="4" borderId="0" xfId="0" applyFont="1" applyFill="1"/>
    <xf numFmtId="0" fontId="5" fillId="4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B1AA-270E-4143-AE47-779AFA93AC9F}">
  <dimension ref="A1:N35"/>
  <sheetViews>
    <sheetView zoomScale="145" zoomScaleNormal="145" workbookViewId="0">
      <selection sqref="A1:I35"/>
    </sheetView>
  </sheetViews>
  <sheetFormatPr defaultRowHeight="14.25" x14ac:dyDescent="0.45"/>
  <cols>
    <col min="1" max="1" width="10.86328125" bestFit="1" customWidth="1"/>
    <col min="2" max="2" width="14.06640625" bestFit="1" customWidth="1"/>
    <col min="3" max="3" width="16.46484375" bestFit="1" customWidth="1"/>
    <col min="4" max="4" width="11.46484375" bestFit="1" customWidth="1"/>
    <col min="5" max="5" width="13.73046875" bestFit="1" customWidth="1"/>
    <col min="6" max="6" width="6.59765625" bestFit="1" customWidth="1"/>
    <col min="7" max="7" width="14.86328125" bestFit="1" customWidth="1"/>
    <col min="8" max="8" width="10.06640625" bestFit="1" customWidth="1"/>
    <col min="9" max="9" width="10.19921875" bestFit="1" customWidth="1"/>
    <col min="10" max="10" width="13.19921875" bestFit="1" customWidth="1"/>
    <col min="13" max="13" width="14.19921875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140</v>
      </c>
      <c r="I1" s="1" t="s">
        <v>7</v>
      </c>
      <c r="J1" s="1" t="s">
        <v>8</v>
      </c>
      <c r="K1" s="1" t="s">
        <v>138</v>
      </c>
      <c r="L1" s="1" t="s">
        <v>141</v>
      </c>
    </row>
    <row r="2" spans="1:14" x14ac:dyDescent="0.4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>
        <v>45372</v>
      </c>
      <c r="H2" s="3">
        <v>100000</v>
      </c>
      <c r="I2" t="s">
        <v>15</v>
      </c>
      <c r="J2" t="s">
        <v>16</v>
      </c>
      <c r="K2">
        <v>2</v>
      </c>
      <c r="L2">
        <f>H2/K2</f>
        <v>50000</v>
      </c>
      <c r="M2">
        <f>IF(K2=0,"Check the Denominator",H2/K2)</f>
        <v>50000</v>
      </c>
      <c r="N2">
        <f>IFERROR(H2/K2,"Denominator Zero")</f>
        <v>50000</v>
      </c>
    </row>
    <row r="3" spans="1:14" x14ac:dyDescent="0.45">
      <c r="A3" t="s">
        <v>17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s="2">
        <v>45834</v>
      </c>
      <c r="H3" s="3">
        <v>500000</v>
      </c>
      <c r="I3" t="s">
        <v>22</v>
      </c>
      <c r="J3" t="s">
        <v>16</v>
      </c>
      <c r="K3">
        <v>1</v>
      </c>
      <c r="L3">
        <f t="shared" ref="L3:L13" si="0">H3/K3</f>
        <v>500000</v>
      </c>
      <c r="M3">
        <f>IF(K3=0,"Check the Denominator",H3/K3)</f>
        <v>500000</v>
      </c>
      <c r="N3">
        <f t="shared" ref="N3:N35" si="1">IFERROR(H3/K3,"Denominator Zero")</f>
        <v>500000</v>
      </c>
    </row>
    <row r="4" spans="1:14" x14ac:dyDescent="0.45">
      <c r="A4" t="s">
        <v>23</v>
      </c>
      <c r="B4" t="s">
        <v>24</v>
      </c>
      <c r="C4" t="s">
        <v>11</v>
      </c>
      <c r="D4" t="s">
        <v>12</v>
      </c>
      <c r="E4" t="s">
        <v>13</v>
      </c>
      <c r="F4" t="s">
        <v>14</v>
      </c>
      <c r="G4" s="2">
        <v>45276</v>
      </c>
      <c r="H4" s="3">
        <v>50000</v>
      </c>
      <c r="I4" t="s">
        <v>15</v>
      </c>
      <c r="J4" t="s">
        <v>16</v>
      </c>
      <c r="K4">
        <v>1</v>
      </c>
      <c r="L4">
        <f t="shared" si="0"/>
        <v>50000</v>
      </c>
      <c r="M4">
        <f t="shared" ref="M3:M13" si="2">IF(K4=0,"Check the Denominator",H4/K4)</f>
        <v>50000</v>
      </c>
      <c r="N4">
        <f t="shared" si="1"/>
        <v>50000</v>
      </c>
    </row>
    <row r="5" spans="1:14" x14ac:dyDescent="0.4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14</v>
      </c>
      <c r="G5" s="2">
        <v>45814</v>
      </c>
      <c r="H5" s="3">
        <v>750000</v>
      </c>
      <c r="I5" t="s">
        <v>30</v>
      </c>
      <c r="J5" t="s">
        <v>16</v>
      </c>
      <c r="K5">
        <v>5</v>
      </c>
      <c r="L5">
        <f t="shared" si="0"/>
        <v>150000</v>
      </c>
      <c r="M5">
        <f t="shared" si="2"/>
        <v>150000</v>
      </c>
      <c r="N5">
        <f t="shared" si="1"/>
        <v>150000</v>
      </c>
    </row>
    <row r="6" spans="1:14" x14ac:dyDescent="0.45">
      <c r="A6" t="s">
        <v>31</v>
      </c>
      <c r="B6" t="s">
        <v>32</v>
      </c>
      <c r="C6" t="s">
        <v>27</v>
      </c>
      <c r="D6" t="s">
        <v>33</v>
      </c>
      <c r="E6" t="s">
        <v>34</v>
      </c>
      <c r="F6" t="s">
        <v>35</v>
      </c>
      <c r="G6" s="2">
        <v>44837</v>
      </c>
      <c r="H6" s="3">
        <v>150000</v>
      </c>
      <c r="I6" t="s">
        <v>36</v>
      </c>
      <c r="J6" t="s">
        <v>16</v>
      </c>
      <c r="K6">
        <v>4</v>
      </c>
      <c r="L6">
        <f t="shared" si="0"/>
        <v>37500</v>
      </c>
      <c r="M6">
        <f t="shared" si="2"/>
        <v>37500</v>
      </c>
      <c r="N6">
        <f t="shared" si="1"/>
        <v>37500</v>
      </c>
    </row>
    <row r="7" spans="1:14" x14ac:dyDescent="0.45">
      <c r="A7" t="s">
        <v>37</v>
      </c>
      <c r="B7" t="s">
        <v>38</v>
      </c>
      <c r="C7" t="s">
        <v>11</v>
      </c>
      <c r="D7" t="s">
        <v>33</v>
      </c>
      <c r="E7" t="s">
        <v>34</v>
      </c>
      <c r="F7" t="s">
        <v>35</v>
      </c>
      <c r="G7" s="2">
        <v>44993</v>
      </c>
      <c r="H7" s="3">
        <v>750000</v>
      </c>
      <c r="I7" t="s">
        <v>36</v>
      </c>
      <c r="J7" t="s">
        <v>16</v>
      </c>
      <c r="K7">
        <v>0</v>
      </c>
      <c r="L7" t="e">
        <f t="shared" si="0"/>
        <v>#DIV/0!</v>
      </c>
      <c r="M7" t="str">
        <f t="shared" si="2"/>
        <v>Check the Denominator</v>
      </c>
      <c r="N7" t="str">
        <f t="shared" si="1"/>
        <v>Denominator Zero</v>
      </c>
    </row>
    <row r="8" spans="1:14" x14ac:dyDescent="0.45">
      <c r="A8" t="s">
        <v>39</v>
      </c>
      <c r="B8" t="s">
        <v>40</v>
      </c>
      <c r="C8" t="s">
        <v>11</v>
      </c>
      <c r="D8" t="s">
        <v>41</v>
      </c>
      <c r="E8" t="s">
        <v>42</v>
      </c>
      <c r="F8" t="s">
        <v>21</v>
      </c>
      <c r="G8" s="2">
        <v>44666</v>
      </c>
      <c r="H8" s="3">
        <v>50000</v>
      </c>
      <c r="I8" t="s">
        <v>30</v>
      </c>
      <c r="J8" t="s">
        <v>16</v>
      </c>
      <c r="K8">
        <v>5</v>
      </c>
      <c r="L8">
        <f t="shared" si="0"/>
        <v>10000</v>
      </c>
      <c r="M8">
        <f t="shared" si="2"/>
        <v>10000</v>
      </c>
      <c r="N8">
        <f t="shared" si="1"/>
        <v>10000</v>
      </c>
    </row>
    <row r="9" spans="1:14" x14ac:dyDescent="0.45">
      <c r="A9" t="s">
        <v>43</v>
      </c>
      <c r="B9" t="s">
        <v>44</v>
      </c>
      <c r="C9" t="s">
        <v>27</v>
      </c>
      <c r="D9" t="s">
        <v>45</v>
      </c>
      <c r="E9" t="s">
        <v>46</v>
      </c>
      <c r="F9" t="s">
        <v>47</v>
      </c>
      <c r="G9" s="2">
        <v>45866</v>
      </c>
      <c r="H9" s="3">
        <v>150000</v>
      </c>
      <c r="I9" t="s">
        <v>36</v>
      </c>
      <c r="J9" t="s">
        <v>16</v>
      </c>
      <c r="K9">
        <v>5</v>
      </c>
      <c r="L9">
        <f t="shared" si="0"/>
        <v>30000</v>
      </c>
      <c r="M9">
        <f t="shared" si="2"/>
        <v>30000</v>
      </c>
      <c r="N9">
        <f t="shared" si="1"/>
        <v>30000</v>
      </c>
    </row>
    <row r="10" spans="1:14" x14ac:dyDescent="0.45">
      <c r="A10" t="s">
        <v>48</v>
      </c>
      <c r="B10" t="s">
        <v>49</v>
      </c>
      <c r="C10" t="s">
        <v>11</v>
      </c>
      <c r="D10" t="s">
        <v>50</v>
      </c>
      <c r="E10" t="s">
        <v>51</v>
      </c>
      <c r="F10" t="s">
        <v>52</v>
      </c>
      <c r="G10" s="2">
        <v>45977</v>
      </c>
      <c r="H10" s="3">
        <v>100000</v>
      </c>
      <c r="I10" t="s">
        <v>30</v>
      </c>
      <c r="J10" t="s">
        <v>16</v>
      </c>
      <c r="K10">
        <v>0</v>
      </c>
      <c r="L10" t="e">
        <f t="shared" si="0"/>
        <v>#DIV/0!</v>
      </c>
      <c r="M10" t="str">
        <f t="shared" si="2"/>
        <v>Check the Denominator</v>
      </c>
      <c r="N10" t="str">
        <f t="shared" si="1"/>
        <v>Denominator Zero</v>
      </c>
    </row>
    <row r="11" spans="1:14" x14ac:dyDescent="0.45">
      <c r="A11" t="s">
        <v>53</v>
      </c>
      <c r="B11" t="s">
        <v>54</v>
      </c>
      <c r="C11" t="s">
        <v>11</v>
      </c>
      <c r="D11" t="s">
        <v>55</v>
      </c>
      <c r="E11" t="s">
        <v>29</v>
      </c>
      <c r="F11" t="s">
        <v>35</v>
      </c>
      <c r="G11" s="2">
        <v>44647</v>
      </c>
      <c r="H11" s="3">
        <v>150000</v>
      </c>
      <c r="I11" t="s">
        <v>30</v>
      </c>
      <c r="J11" t="s">
        <v>56</v>
      </c>
      <c r="K11">
        <v>0</v>
      </c>
      <c r="L11" t="e">
        <f t="shared" si="0"/>
        <v>#DIV/0!</v>
      </c>
      <c r="M11" t="str">
        <f t="shared" si="2"/>
        <v>Check the Denominator</v>
      </c>
      <c r="N11" t="str">
        <f t="shared" si="1"/>
        <v>Denominator Zero</v>
      </c>
    </row>
    <row r="12" spans="1:14" x14ac:dyDescent="0.45">
      <c r="A12" t="s">
        <v>57</v>
      </c>
      <c r="B12" t="s">
        <v>58</v>
      </c>
      <c r="C12" t="s">
        <v>11</v>
      </c>
      <c r="D12" t="s">
        <v>45</v>
      </c>
      <c r="E12" t="s">
        <v>46</v>
      </c>
      <c r="F12" t="s">
        <v>47</v>
      </c>
      <c r="G12" s="2">
        <v>45073</v>
      </c>
      <c r="H12" s="3">
        <v>750000</v>
      </c>
      <c r="I12" t="s">
        <v>36</v>
      </c>
      <c r="J12" t="s">
        <v>16</v>
      </c>
      <c r="K12">
        <v>4</v>
      </c>
      <c r="L12">
        <f t="shared" si="0"/>
        <v>187500</v>
      </c>
      <c r="M12">
        <f t="shared" si="2"/>
        <v>187500</v>
      </c>
      <c r="N12">
        <f t="shared" si="1"/>
        <v>187500</v>
      </c>
    </row>
    <row r="13" spans="1:14" x14ac:dyDescent="0.45">
      <c r="A13" t="s">
        <v>59</v>
      </c>
      <c r="B13" t="s">
        <v>60</v>
      </c>
      <c r="C13" t="s">
        <v>27</v>
      </c>
      <c r="D13" t="s">
        <v>50</v>
      </c>
      <c r="E13" t="s">
        <v>51</v>
      </c>
      <c r="F13" t="s">
        <v>52</v>
      </c>
      <c r="G13" s="2">
        <v>45046</v>
      </c>
      <c r="H13" s="3">
        <v>100000</v>
      </c>
      <c r="I13" t="s">
        <v>22</v>
      </c>
      <c r="J13" t="s">
        <v>16</v>
      </c>
      <c r="K13">
        <v>0</v>
      </c>
      <c r="L13" t="e">
        <f t="shared" si="0"/>
        <v>#DIV/0!</v>
      </c>
      <c r="M13" t="str">
        <f>IF(K13=0,"Check the Denominator",H13/K13)</f>
        <v>Check the Denominator</v>
      </c>
      <c r="N13" t="str">
        <f>IFERROR(H13/K13,"Denominator Zero")</f>
        <v>Denominator Zero</v>
      </c>
    </row>
    <row r="14" spans="1:14" x14ac:dyDescent="0.45">
      <c r="A14" t="s">
        <v>61</v>
      </c>
      <c r="B14" t="s">
        <v>62</v>
      </c>
      <c r="C14" t="s">
        <v>27</v>
      </c>
      <c r="D14" t="s">
        <v>50</v>
      </c>
      <c r="E14" t="s">
        <v>51</v>
      </c>
      <c r="F14" t="s">
        <v>52</v>
      </c>
      <c r="G14" s="2">
        <v>45242</v>
      </c>
      <c r="H14" s="3">
        <v>250000</v>
      </c>
      <c r="I14" t="s">
        <v>15</v>
      </c>
      <c r="J14" t="s">
        <v>16</v>
      </c>
    </row>
    <row r="15" spans="1:14" x14ac:dyDescent="0.45">
      <c r="A15" t="s">
        <v>63</v>
      </c>
      <c r="B15" t="s">
        <v>64</v>
      </c>
      <c r="C15" t="s">
        <v>27</v>
      </c>
      <c r="D15" t="s">
        <v>65</v>
      </c>
      <c r="E15" t="s">
        <v>13</v>
      </c>
      <c r="F15" t="s">
        <v>14</v>
      </c>
      <c r="G15" s="2">
        <v>44783</v>
      </c>
      <c r="H15" s="3">
        <v>250000</v>
      </c>
      <c r="I15" t="s">
        <v>15</v>
      </c>
      <c r="J15" t="s">
        <v>16</v>
      </c>
    </row>
    <row r="16" spans="1:14" x14ac:dyDescent="0.45">
      <c r="A16" t="s">
        <v>66</v>
      </c>
      <c r="B16" t="s">
        <v>67</v>
      </c>
      <c r="C16" t="s">
        <v>11</v>
      </c>
      <c r="D16" t="s">
        <v>65</v>
      </c>
      <c r="E16" t="s">
        <v>13</v>
      </c>
      <c r="F16" t="s">
        <v>14</v>
      </c>
      <c r="G16" s="2">
        <v>45028</v>
      </c>
      <c r="H16" s="3">
        <v>100000</v>
      </c>
      <c r="I16" t="s">
        <v>36</v>
      </c>
      <c r="J16" t="s">
        <v>16</v>
      </c>
    </row>
    <row r="17" spans="1:10" x14ac:dyDescent="0.45">
      <c r="A17" t="s">
        <v>68</v>
      </c>
      <c r="B17" t="s">
        <v>69</v>
      </c>
      <c r="C17" t="s">
        <v>27</v>
      </c>
      <c r="D17" t="s">
        <v>19</v>
      </c>
      <c r="E17" t="s">
        <v>20</v>
      </c>
      <c r="F17" t="s">
        <v>21</v>
      </c>
      <c r="G17" s="2">
        <v>45133</v>
      </c>
      <c r="H17" s="3">
        <v>150000</v>
      </c>
      <c r="I17" t="s">
        <v>30</v>
      </c>
      <c r="J17" t="s">
        <v>16</v>
      </c>
    </row>
    <row r="18" spans="1:10" x14ac:dyDescent="0.45">
      <c r="A18" t="s">
        <v>70</v>
      </c>
      <c r="B18" t="s">
        <v>71</v>
      </c>
      <c r="C18" t="s">
        <v>11</v>
      </c>
      <c r="D18" t="s">
        <v>33</v>
      </c>
      <c r="E18" t="s">
        <v>34</v>
      </c>
      <c r="F18" t="s">
        <v>35</v>
      </c>
      <c r="G18" s="2">
        <v>45096</v>
      </c>
      <c r="H18" s="3">
        <v>100000</v>
      </c>
      <c r="I18" t="s">
        <v>30</v>
      </c>
      <c r="J18" t="s">
        <v>56</v>
      </c>
    </row>
    <row r="19" spans="1:10" x14ac:dyDescent="0.45">
      <c r="A19" t="s">
        <v>72</v>
      </c>
      <c r="B19" t="s">
        <v>73</v>
      </c>
      <c r="C19" t="s">
        <v>11</v>
      </c>
      <c r="D19" t="s">
        <v>45</v>
      </c>
      <c r="E19" t="s">
        <v>46</v>
      </c>
      <c r="F19" t="s">
        <v>47</v>
      </c>
      <c r="G19" s="2">
        <v>45204</v>
      </c>
      <c r="H19" s="3">
        <v>250000</v>
      </c>
      <c r="I19" t="s">
        <v>30</v>
      </c>
      <c r="J19" t="s">
        <v>16</v>
      </c>
    </row>
    <row r="20" spans="1:10" x14ac:dyDescent="0.45">
      <c r="A20" t="s">
        <v>74</v>
      </c>
      <c r="B20" t="s">
        <v>75</v>
      </c>
      <c r="C20" t="s">
        <v>11</v>
      </c>
      <c r="D20" t="s">
        <v>76</v>
      </c>
      <c r="E20" t="s">
        <v>77</v>
      </c>
      <c r="F20" t="s">
        <v>52</v>
      </c>
      <c r="G20" s="2">
        <v>46013</v>
      </c>
      <c r="H20" s="3">
        <v>250000</v>
      </c>
      <c r="I20" t="s">
        <v>36</v>
      </c>
      <c r="J20" t="s">
        <v>56</v>
      </c>
    </row>
    <row r="21" spans="1:10" x14ac:dyDescent="0.45">
      <c r="A21" t="s">
        <v>78</v>
      </c>
      <c r="B21" t="s">
        <v>79</v>
      </c>
      <c r="C21" t="s">
        <v>11</v>
      </c>
      <c r="D21" t="s">
        <v>33</v>
      </c>
      <c r="E21" t="s">
        <v>34</v>
      </c>
      <c r="F21" t="s">
        <v>35</v>
      </c>
      <c r="G21" s="2">
        <v>44705</v>
      </c>
      <c r="H21" s="3">
        <v>750000</v>
      </c>
      <c r="I21" t="s">
        <v>22</v>
      </c>
      <c r="J21" t="s">
        <v>16</v>
      </c>
    </row>
    <row r="22" spans="1:10" x14ac:dyDescent="0.45">
      <c r="A22" t="s">
        <v>80</v>
      </c>
      <c r="B22" t="s">
        <v>81</v>
      </c>
      <c r="C22" t="s">
        <v>82</v>
      </c>
      <c r="D22" t="s">
        <v>83</v>
      </c>
      <c r="E22" t="s">
        <v>83</v>
      </c>
      <c r="F22" t="s">
        <v>47</v>
      </c>
      <c r="G22" s="2">
        <v>45927</v>
      </c>
      <c r="H22" s="3">
        <v>250000</v>
      </c>
      <c r="I22" t="s">
        <v>36</v>
      </c>
      <c r="J22" t="s">
        <v>16</v>
      </c>
    </row>
    <row r="23" spans="1:10" x14ac:dyDescent="0.45">
      <c r="A23" t="s">
        <v>84</v>
      </c>
      <c r="B23" t="s">
        <v>85</v>
      </c>
      <c r="C23" t="s">
        <v>11</v>
      </c>
      <c r="D23" t="s">
        <v>33</v>
      </c>
      <c r="E23" t="s">
        <v>34</v>
      </c>
      <c r="F23" t="s">
        <v>35</v>
      </c>
      <c r="G23" s="2">
        <v>45338</v>
      </c>
      <c r="H23" s="3">
        <v>750000</v>
      </c>
      <c r="I23" t="s">
        <v>15</v>
      </c>
      <c r="J23" t="s">
        <v>16</v>
      </c>
    </row>
    <row r="24" spans="1:10" x14ac:dyDescent="0.45">
      <c r="A24" t="s">
        <v>86</v>
      </c>
      <c r="B24" t="s">
        <v>87</v>
      </c>
      <c r="C24" t="s">
        <v>82</v>
      </c>
      <c r="D24" t="s">
        <v>55</v>
      </c>
      <c r="E24" t="s">
        <v>29</v>
      </c>
      <c r="F24" t="s">
        <v>35</v>
      </c>
      <c r="G24" s="2">
        <v>44562</v>
      </c>
      <c r="H24" s="3">
        <v>150000</v>
      </c>
      <c r="I24" t="s">
        <v>36</v>
      </c>
      <c r="J24" t="s">
        <v>16</v>
      </c>
    </row>
    <row r="25" spans="1:10" x14ac:dyDescent="0.45">
      <c r="A25" t="s">
        <v>88</v>
      </c>
      <c r="B25" t="s">
        <v>89</v>
      </c>
      <c r="C25" t="s">
        <v>82</v>
      </c>
      <c r="D25" t="s">
        <v>55</v>
      </c>
      <c r="E25" t="s">
        <v>29</v>
      </c>
      <c r="F25" t="s">
        <v>35</v>
      </c>
      <c r="G25" s="2">
        <v>45467</v>
      </c>
      <c r="H25" s="3">
        <v>750000</v>
      </c>
      <c r="I25" t="s">
        <v>36</v>
      </c>
      <c r="J25" t="s">
        <v>16</v>
      </c>
    </row>
    <row r="26" spans="1:10" x14ac:dyDescent="0.45">
      <c r="A26" t="s">
        <v>90</v>
      </c>
      <c r="B26" t="s">
        <v>91</v>
      </c>
      <c r="C26" t="s">
        <v>11</v>
      </c>
      <c r="D26" t="s">
        <v>28</v>
      </c>
      <c r="E26" t="s">
        <v>29</v>
      </c>
      <c r="F26" t="s">
        <v>14</v>
      </c>
      <c r="G26" s="2">
        <v>45921</v>
      </c>
      <c r="H26" s="3">
        <v>750000</v>
      </c>
      <c r="I26" t="s">
        <v>30</v>
      </c>
      <c r="J26" t="s">
        <v>16</v>
      </c>
    </row>
    <row r="27" spans="1:10" x14ac:dyDescent="0.45">
      <c r="A27" t="s">
        <v>92</v>
      </c>
      <c r="B27" t="s">
        <v>93</v>
      </c>
      <c r="C27" t="s">
        <v>11</v>
      </c>
      <c r="D27" t="s">
        <v>65</v>
      </c>
      <c r="E27" t="s">
        <v>13</v>
      </c>
      <c r="F27" t="s">
        <v>14</v>
      </c>
      <c r="G27" s="2">
        <v>44969</v>
      </c>
      <c r="H27" s="3">
        <v>100000</v>
      </c>
      <c r="I27" t="s">
        <v>36</v>
      </c>
      <c r="J27" t="s">
        <v>16</v>
      </c>
    </row>
    <row r="28" spans="1:10" x14ac:dyDescent="0.45">
      <c r="A28" t="s">
        <v>94</v>
      </c>
      <c r="B28" t="s">
        <v>95</v>
      </c>
      <c r="C28" t="s">
        <v>82</v>
      </c>
      <c r="D28" t="s">
        <v>96</v>
      </c>
      <c r="E28" t="s">
        <v>97</v>
      </c>
      <c r="F28" t="s">
        <v>52</v>
      </c>
      <c r="G28" s="2">
        <v>45851</v>
      </c>
      <c r="H28" s="3">
        <v>500000</v>
      </c>
      <c r="I28" t="s">
        <v>36</v>
      </c>
      <c r="J28" t="s">
        <v>16</v>
      </c>
    </row>
    <row r="29" spans="1:10" x14ac:dyDescent="0.45">
      <c r="A29" t="s">
        <v>98</v>
      </c>
      <c r="B29" t="s">
        <v>99</v>
      </c>
      <c r="C29" t="s">
        <v>11</v>
      </c>
      <c r="D29" t="s">
        <v>96</v>
      </c>
      <c r="E29" t="s">
        <v>97</v>
      </c>
      <c r="F29" t="s">
        <v>52</v>
      </c>
      <c r="G29" s="2">
        <v>45970</v>
      </c>
      <c r="H29" s="3">
        <v>50000</v>
      </c>
      <c r="I29" t="s">
        <v>15</v>
      </c>
      <c r="J29" t="s">
        <v>16</v>
      </c>
    </row>
    <row r="30" spans="1:10" x14ac:dyDescent="0.45">
      <c r="A30" t="s">
        <v>100</v>
      </c>
      <c r="B30" t="s">
        <v>101</v>
      </c>
      <c r="C30" t="s">
        <v>11</v>
      </c>
      <c r="D30" t="s">
        <v>83</v>
      </c>
      <c r="E30" t="s">
        <v>83</v>
      </c>
      <c r="F30" t="s">
        <v>47</v>
      </c>
      <c r="G30" s="2">
        <v>45987</v>
      </c>
      <c r="H30" s="3">
        <v>500000</v>
      </c>
      <c r="I30" t="s">
        <v>30</v>
      </c>
      <c r="J30" t="s">
        <v>16</v>
      </c>
    </row>
    <row r="31" spans="1:10" x14ac:dyDescent="0.45">
      <c r="A31" t="s">
        <v>102</v>
      </c>
      <c r="B31" t="s">
        <v>103</v>
      </c>
      <c r="C31" t="s">
        <v>27</v>
      </c>
      <c r="D31" t="s">
        <v>83</v>
      </c>
      <c r="E31" t="s">
        <v>83</v>
      </c>
      <c r="F31" t="s">
        <v>47</v>
      </c>
      <c r="G31" s="2">
        <v>45929</v>
      </c>
      <c r="H31" s="3">
        <v>500000</v>
      </c>
      <c r="I31" t="s">
        <v>22</v>
      </c>
      <c r="J31" t="s">
        <v>16</v>
      </c>
    </row>
    <row r="32" spans="1:10" x14ac:dyDescent="0.45">
      <c r="A32" t="s">
        <v>104</v>
      </c>
      <c r="B32" t="s">
        <v>105</v>
      </c>
      <c r="C32" t="s">
        <v>11</v>
      </c>
      <c r="D32" t="s">
        <v>106</v>
      </c>
      <c r="E32" t="s">
        <v>107</v>
      </c>
      <c r="F32" t="s">
        <v>52</v>
      </c>
      <c r="G32" s="2">
        <v>45684</v>
      </c>
      <c r="H32" s="3">
        <v>250000</v>
      </c>
      <c r="I32" t="s">
        <v>15</v>
      </c>
      <c r="J32" t="s">
        <v>16</v>
      </c>
    </row>
    <row r="33" spans="1:10" x14ac:dyDescent="0.45">
      <c r="A33" t="s">
        <v>108</v>
      </c>
      <c r="B33" t="s">
        <v>109</v>
      </c>
      <c r="C33" t="s">
        <v>27</v>
      </c>
      <c r="D33" t="s">
        <v>96</v>
      </c>
      <c r="E33" t="s">
        <v>97</v>
      </c>
      <c r="F33" t="s">
        <v>52</v>
      </c>
      <c r="G33" s="2">
        <v>45867</v>
      </c>
      <c r="H33" s="3">
        <v>150000</v>
      </c>
      <c r="I33" t="s">
        <v>15</v>
      </c>
      <c r="J33" t="s">
        <v>16</v>
      </c>
    </row>
    <row r="34" spans="1:10" x14ac:dyDescent="0.45">
      <c r="A34" t="s">
        <v>110</v>
      </c>
      <c r="B34" t="s">
        <v>111</v>
      </c>
      <c r="C34" t="s">
        <v>11</v>
      </c>
      <c r="D34" t="s">
        <v>65</v>
      </c>
      <c r="E34" t="s">
        <v>13</v>
      </c>
      <c r="F34" t="s">
        <v>14</v>
      </c>
      <c r="G34" s="2">
        <v>45147</v>
      </c>
      <c r="H34" s="3">
        <v>100000</v>
      </c>
      <c r="I34" t="s">
        <v>36</v>
      </c>
      <c r="J34" t="s">
        <v>16</v>
      </c>
    </row>
    <row r="35" spans="1:10" x14ac:dyDescent="0.45">
      <c r="A35" t="s">
        <v>112</v>
      </c>
      <c r="B35" t="s">
        <v>113</v>
      </c>
      <c r="C35" t="s">
        <v>11</v>
      </c>
      <c r="D35" t="s">
        <v>33</v>
      </c>
      <c r="E35" t="s">
        <v>34</v>
      </c>
      <c r="F35" t="s">
        <v>35</v>
      </c>
      <c r="G35" s="2">
        <v>45346</v>
      </c>
      <c r="H35" s="3">
        <v>750000</v>
      </c>
      <c r="I35" t="s">
        <v>36</v>
      </c>
      <c r="J3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9492-21E6-4A31-89ED-980052D48FB6}">
  <dimension ref="A1:M39"/>
  <sheetViews>
    <sheetView tabSelected="1" topLeftCell="D1" zoomScale="160" zoomScaleNormal="160" workbookViewId="0">
      <selection activeCell="H3" sqref="H3"/>
    </sheetView>
  </sheetViews>
  <sheetFormatPr defaultRowHeight="14.25" x14ac:dyDescent="0.45"/>
  <cols>
    <col min="1" max="1" width="10.86328125" bestFit="1" customWidth="1"/>
    <col min="2" max="2" width="14.06640625" bestFit="1" customWidth="1"/>
    <col min="3" max="3" width="16.46484375" bestFit="1" customWidth="1"/>
    <col min="4" max="4" width="11.46484375" bestFit="1" customWidth="1"/>
    <col min="5" max="5" width="13.73046875" bestFit="1" customWidth="1"/>
    <col min="6" max="6" width="6.59765625" bestFit="1" customWidth="1"/>
    <col min="7" max="7" width="14.86328125" bestFit="1" customWidth="1"/>
    <col min="8" max="8" width="14.86328125" customWidth="1"/>
    <col min="9" max="9" width="9.33203125" bestFit="1" customWidth="1"/>
    <col min="10" max="10" width="13.9296875" style="23" bestFit="1" customWidth="1"/>
    <col min="11" max="11" width="10.19921875" bestFit="1" customWidth="1"/>
  </cols>
  <sheetData>
    <row r="1" spans="1:13" ht="21.4" thickBot="1" x14ac:dyDescent="0.7">
      <c r="D1" s="13" t="s">
        <v>177</v>
      </c>
      <c r="E1" s="12"/>
      <c r="J1"/>
    </row>
    <row r="2" spans="1:13" x14ac:dyDescent="0.45">
      <c r="A2" s="14" t="s">
        <v>178</v>
      </c>
      <c r="B2" s="15"/>
      <c r="C2" s="15"/>
      <c r="D2" s="15"/>
      <c r="E2" s="15"/>
      <c r="F2" s="15"/>
      <c r="G2" s="16"/>
      <c r="H2" s="18"/>
      <c r="J2"/>
    </row>
    <row r="3" spans="1:13" x14ac:dyDescent="0.45">
      <c r="A3" s="17" t="s">
        <v>179</v>
      </c>
      <c r="B3" s="18"/>
      <c r="C3" s="18"/>
      <c r="D3" s="18"/>
      <c r="E3" s="18"/>
      <c r="F3" s="18"/>
      <c r="G3" s="19"/>
      <c r="H3" s="18"/>
      <c r="J3"/>
    </row>
    <row r="4" spans="1:13" ht="14.65" thickBot="1" x14ac:dyDescent="0.5">
      <c r="A4" s="20" t="s">
        <v>180</v>
      </c>
      <c r="B4" s="21"/>
      <c r="C4" s="21"/>
      <c r="D4" s="21"/>
      <c r="E4" s="21"/>
      <c r="F4" s="21"/>
      <c r="G4" s="22"/>
      <c r="H4" s="18"/>
      <c r="J4"/>
    </row>
    <row r="5" spans="1:13" x14ac:dyDescent="0.4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181</v>
      </c>
      <c r="I5" s="1" t="s">
        <v>140</v>
      </c>
      <c r="J5" s="1" t="s">
        <v>184</v>
      </c>
      <c r="K5" s="1" t="s">
        <v>7</v>
      </c>
      <c r="L5" s="1" t="s">
        <v>183</v>
      </c>
      <c r="M5" s="1"/>
    </row>
    <row r="6" spans="1:13" x14ac:dyDescent="0.4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s="2">
        <v>45372</v>
      </c>
      <c r="H6" s="23">
        <v>18</v>
      </c>
      <c r="I6" s="3">
        <v>466</v>
      </c>
      <c r="J6" s="23">
        <v>1234567890</v>
      </c>
      <c r="K6" t="s">
        <v>15</v>
      </c>
      <c r="L6" s="24">
        <v>0.58333333333333337</v>
      </c>
    </row>
    <row r="7" spans="1:13" x14ac:dyDescent="0.45">
      <c r="A7" t="s">
        <v>17</v>
      </c>
      <c r="B7" t="s">
        <v>18</v>
      </c>
      <c r="C7" t="s">
        <v>11</v>
      </c>
      <c r="D7" t="s">
        <v>19</v>
      </c>
      <c r="E7" t="s">
        <v>20</v>
      </c>
      <c r="F7" t="s">
        <v>21</v>
      </c>
      <c r="G7" s="2">
        <v>45834</v>
      </c>
      <c r="H7" s="23">
        <v>18</v>
      </c>
      <c r="I7" s="3">
        <v>500000</v>
      </c>
      <c r="K7" t="s">
        <v>22</v>
      </c>
      <c r="L7" s="24"/>
      <c r="M7" t="s">
        <v>182</v>
      </c>
    </row>
    <row r="8" spans="1:13" x14ac:dyDescent="0.45">
      <c r="A8" t="s">
        <v>23</v>
      </c>
      <c r="B8" t="s">
        <v>24</v>
      </c>
      <c r="C8" t="s">
        <v>11</v>
      </c>
      <c r="D8" t="s">
        <v>12</v>
      </c>
      <c r="E8" t="s">
        <v>13</v>
      </c>
      <c r="F8" t="s">
        <v>14</v>
      </c>
      <c r="G8" s="2">
        <v>45276</v>
      </c>
      <c r="H8" s="23">
        <v>18</v>
      </c>
      <c r="I8" s="3">
        <v>50000</v>
      </c>
      <c r="K8" t="s">
        <v>15</v>
      </c>
    </row>
    <row r="9" spans="1:13" x14ac:dyDescent="0.4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14</v>
      </c>
      <c r="G9" s="2">
        <v>45814</v>
      </c>
      <c r="H9" s="23">
        <v>18</v>
      </c>
      <c r="I9" s="3">
        <v>750000</v>
      </c>
      <c r="K9" t="s">
        <v>30</v>
      </c>
    </row>
    <row r="10" spans="1:13" x14ac:dyDescent="0.45">
      <c r="A10" t="s">
        <v>31</v>
      </c>
      <c r="B10" t="s">
        <v>32</v>
      </c>
      <c r="C10" t="s">
        <v>27</v>
      </c>
      <c r="D10" t="s">
        <v>33</v>
      </c>
      <c r="E10" t="s">
        <v>34</v>
      </c>
      <c r="F10" t="s">
        <v>35</v>
      </c>
      <c r="G10" s="2">
        <v>44837</v>
      </c>
      <c r="H10" s="23">
        <v>18</v>
      </c>
      <c r="I10" s="3">
        <v>150000</v>
      </c>
      <c r="K10" t="s">
        <v>36</v>
      </c>
    </row>
    <row r="11" spans="1:13" x14ac:dyDescent="0.45">
      <c r="A11" t="s">
        <v>37</v>
      </c>
      <c r="B11" t="s">
        <v>38</v>
      </c>
      <c r="C11" t="s">
        <v>11</v>
      </c>
      <c r="D11" t="s">
        <v>33</v>
      </c>
      <c r="E11" t="s">
        <v>34</v>
      </c>
      <c r="F11" t="s">
        <v>35</v>
      </c>
      <c r="G11" s="2">
        <v>44993</v>
      </c>
      <c r="H11" s="23">
        <v>18</v>
      </c>
      <c r="I11" s="3">
        <v>750000</v>
      </c>
      <c r="K11" t="s">
        <v>36</v>
      </c>
      <c r="M11" t="s">
        <v>15</v>
      </c>
    </row>
    <row r="12" spans="1:13" x14ac:dyDescent="0.45">
      <c r="A12" t="s">
        <v>39</v>
      </c>
      <c r="B12" t="s">
        <v>40</v>
      </c>
      <c r="C12" t="s">
        <v>11</v>
      </c>
      <c r="D12" t="s">
        <v>41</v>
      </c>
      <c r="E12" t="s">
        <v>42</v>
      </c>
      <c r="F12" t="s">
        <v>21</v>
      </c>
      <c r="G12" s="2">
        <v>44666</v>
      </c>
      <c r="H12" s="23">
        <v>18</v>
      </c>
      <c r="I12" s="3">
        <v>50000</v>
      </c>
      <c r="K12" t="s">
        <v>30</v>
      </c>
      <c r="M12" t="s">
        <v>22</v>
      </c>
    </row>
    <row r="13" spans="1:13" x14ac:dyDescent="0.45">
      <c r="A13" t="s">
        <v>43</v>
      </c>
      <c r="B13" t="s">
        <v>44</v>
      </c>
      <c r="C13" t="s">
        <v>27</v>
      </c>
      <c r="D13" t="s">
        <v>45</v>
      </c>
      <c r="E13" t="s">
        <v>46</v>
      </c>
      <c r="F13" t="s">
        <v>47</v>
      </c>
      <c r="G13" s="2">
        <v>45866</v>
      </c>
      <c r="H13" s="23">
        <v>18</v>
      </c>
      <c r="I13" s="3">
        <v>150000</v>
      </c>
      <c r="K13" t="s">
        <v>36</v>
      </c>
      <c r="M13" t="s">
        <v>30</v>
      </c>
    </row>
    <row r="14" spans="1:13" x14ac:dyDescent="0.45">
      <c r="A14" t="s">
        <v>48</v>
      </c>
      <c r="B14" t="s">
        <v>49</v>
      </c>
      <c r="C14" t="s">
        <v>11</v>
      </c>
      <c r="D14" t="s">
        <v>50</v>
      </c>
      <c r="E14" t="s">
        <v>51</v>
      </c>
      <c r="F14" t="s">
        <v>52</v>
      </c>
      <c r="G14" s="2">
        <v>45977</v>
      </c>
      <c r="H14" s="23">
        <v>18</v>
      </c>
      <c r="I14" s="3">
        <v>100000</v>
      </c>
      <c r="K14" t="s">
        <v>30</v>
      </c>
      <c r="M14" t="s">
        <v>36</v>
      </c>
    </row>
    <row r="15" spans="1:13" x14ac:dyDescent="0.45">
      <c r="A15" t="s">
        <v>53</v>
      </c>
      <c r="B15" t="s">
        <v>54</v>
      </c>
      <c r="C15" t="s">
        <v>11</v>
      </c>
      <c r="D15" t="s">
        <v>55</v>
      </c>
      <c r="E15" t="s">
        <v>29</v>
      </c>
      <c r="F15" t="s">
        <v>35</v>
      </c>
      <c r="G15" s="2">
        <v>44647</v>
      </c>
      <c r="H15" s="23">
        <v>18</v>
      </c>
      <c r="I15" s="3">
        <v>150000</v>
      </c>
      <c r="K15" t="s">
        <v>30</v>
      </c>
    </row>
    <row r="16" spans="1:13" x14ac:dyDescent="0.45">
      <c r="A16" t="s">
        <v>57</v>
      </c>
      <c r="B16" t="s">
        <v>58</v>
      </c>
      <c r="C16" t="s">
        <v>11</v>
      </c>
      <c r="D16" t="s">
        <v>45</v>
      </c>
      <c r="E16" t="s">
        <v>46</v>
      </c>
      <c r="F16" t="s">
        <v>47</v>
      </c>
      <c r="G16" s="2">
        <v>45073</v>
      </c>
      <c r="H16" s="23">
        <v>18</v>
      </c>
      <c r="I16" s="3">
        <v>750000</v>
      </c>
      <c r="K16" t="s">
        <v>36</v>
      </c>
      <c r="M16" t="s">
        <v>14</v>
      </c>
    </row>
    <row r="17" spans="1:13" x14ac:dyDescent="0.45">
      <c r="A17" t="s">
        <v>59</v>
      </c>
      <c r="B17" t="s">
        <v>60</v>
      </c>
      <c r="C17" t="s">
        <v>27</v>
      </c>
      <c r="D17" t="s">
        <v>50</v>
      </c>
      <c r="E17" t="s">
        <v>51</v>
      </c>
      <c r="F17" t="s">
        <v>52</v>
      </c>
      <c r="G17" s="2">
        <v>45046</v>
      </c>
      <c r="H17" s="23">
        <v>18</v>
      </c>
      <c r="I17" s="3">
        <v>100000</v>
      </c>
      <c r="K17" t="s">
        <v>22</v>
      </c>
      <c r="M17" t="s">
        <v>21</v>
      </c>
    </row>
    <row r="18" spans="1:13" x14ac:dyDescent="0.45">
      <c r="A18" t="s">
        <v>61</v>
      </c>
      <c r="B18" t="s">
        <v>62</v>
      </c>
      <c r="C18" t="s">
        <v>27</v>
      </c>
      <c r="D18" t="s">
        <v>50</v>
      </c>
      <c r="E18" t="s">
        <v>51</v>
      </c>
      <c r="F18" t="s">
        <v>52</v>
      </c>
      <c r="G18" s="2">
        <v>45242</v>
      </c>
      <c r="H18" s="23">
        <v>18</v>
      </c>
      <c r="I18" s="3">
        <v>250000</v>
      </c>
      <c r="K18" t="s">
        <v>15</v>
      </c>
      <c r="M18" t="s">
        <v>35</v>
      </c>
    </row>
    <row r="19" spans="1:13" x14ac:dyDescent="0.45">
      <c r="A19" t="s">
        <v>63</v>
      </c>
      <c r="B19" t="s">
        <v>64</v>
      </c>
      <c r="C19" t="s">
        <v>27</v>
      </c>
      <c r="D19" t="s">
        <v>65</v>
      </c>
      <c r="E19" t="s">
        <v>13</v>
      </c>
      <c r="F19" t="s">
        <v>14</v>
      </c>
      <c r="G19" s="2">
        <v>44783</v>
      </c>
      <c r="H19" s="23">
        <v>60</v>
      </c>
      <c r="I19" s="3">
        <v>250000</v>
      </c>
      <c r="K19" t="s">
        <v>15</v>
      </c>
      <c r="M19" t="s">
        <v>52</v>
      </c>
    </row>
    <row r="20" spans="1:13" x14ac:dyDescent="0.45">
      <c r="A20" t="s">
        <v>66</v>
      </c>
      <c r="B20" t="s">
        <v>67</v>
      </c>
      <c r="C20" t="s">
        <v>11</v>
      </c>
      <c r="D20" t="s">
        <v>65</v>
      </c>
      <c r="E20" t="s">
        <v>13</v>
      </c>
      <c r="F20" t="s">
        <v>14</v>
      </c>
      <c r="G20" s="2">
        <v>45028</v>
      </c>
      <c r="H20" s="23">
        <v>25</v>
      </c>
      <c r="I20" s="3">
        <v>100000</v>
      </c>
      <c r="K20" t="s">
        <v>36</v>
      </c>
      <c r="M20" t="s">
        <v>47</v>
      </c>
    </row>
    <row r="21" spans="1:13" x14ac:dyDescent="0.45">
      <c r="A21" t="s">
        <v>68</v>
      </c>
      <c r="B21" t="s">
        <v>69</v>
      </c>
      <c r="C21" t="s">
        <v>27</v>
      </c>
      <c r="D21" t="s">
        <v>19</v>
      </c>
      <c r="E21" t="s">
        <v>20</v>
      </c>
      <c r="F21" t="s">
        <v>21</v>
      </c>
      <c r="G21" s="2">
        <v>45133</v>
      </c>
      <c r="H21" s="23">
        <v>18</v>
      </c>
      <c r="I21" s="3">
        <v>150000</v>
      </c>
      <c r="K21" t="s">
        <v>30</v>
      </c>
    </row>
    <row r="22" spans="1:13" x14ac:dyDescent="0.45">
      <c r="A22" t="s">
        <v>70</v>
      </c>
      <c r="B22" t="s">
        <v>71</v>
      </c>
      <c r="C22" t="s">
        <v>11</v>
      </c>
      <c r="D22" t="s">
        <v>33</v>
      </c>
      <c r="E22" t="s">
        <v>34</v>
      </c>
      <c r="F22" t="s">
        <v>35</v>
      </c>
      <c r="G22" s="2">
        <v>45096</v>
      </c>
      <c r="H22" s="2"/>
      <c r="I22" s="3">
        <v>100000</v>
      </c>
      <c r="K22" t="s">
        <v>30</v>
      </c>
    </row>
    <row r="23" spans="1:13" x14ac:dyDescent="0.45">
      <c r="A23" t="s">
        <v>72</v>
      </c>
      <c r="B23" t="s">
        <v>73</v>
      </c>
      <c r="C23" t="s">
        <v>11</v>
      </c>
      <c r="D23" t="s">
        <v>45</v>
      </c>
      <c r="E23" t="s">
        <v>46</v>
      </c>
      <c r="F23" t="s">
        <v>47</v>
      </c>
      <c r="G23" s="2">
        <v>45204</v>
      </c>
      <c r="H23" s="2"/>
      <c r="I23" s="3">
        <v>250000</v>
      </c>
      <c r="K23" t="s">
        <v>30</v>
      </c>
    </row>
    <row r="24" spans="1:13" x14ac:dyDescent="0.45">
      <c r="A24" t="s">
        <v>74</v>
      </c>
      <c r="B24" t="s">
        <v>75</v>
      </c>
      <c r="C24" t="s">
        <v>11</v>
      </c>
      <c r="D24" t="s">
        <v>76</v>
      </c>
      <c r="E24" t="s">
        <v>77</v>
      </c>
      <c r="F24" t="s">
        <v>52</v>
      </c>
      <c r="G24" s="2">
        <v>46013</v>
      </c>
      <c r="H24" s="2"/>
      <c r="I24" s="3">
        <v>250000</v>
      </c>
      <c r="K24" t="s">
        <v>36</v>
      </c>
    </row>
    <row r="25" spans="1:13" x14ac:dyDescent="0.45">
      <c r="A25" t="s">
        <v>78</v>
      </c>
      <c r="B25" t="s">
        <v>79</v>
      </c>
      <c r="C25" t="s">
        <v>11</v>
      </c>
      <c r="D25" t="s">
        <v>33</v>
      </c>
      <c r="E25" t="s">
        <v>34</v>
      </c>
      <c r="F25" t="s">
        <v>35</v>
      </c>
      <c r="G25" s="2">
        <v>44705</v>
      </c>
      <c r="H25" s="2"/>
      <c r="I25" s="3">
        <v>750000</v>
      </c>
      <c r="K25" t="s">
        <v>22</v>
      </c>
    </row>
    <row r="26" spans="1:13" x14ac:dyDescent="0.45">
      <c r="A26" t="s">
        <v>80</v>
      </c>
      <c r="B26" t="s">
        <v>81</v>
      </c>
      <c r="C26" t="s">
        <v>82</v>
      </c>
      <c r="D26" t="s">
        <v>83</v>
      </c>
      <c r="E26" t="s">
        <v>83</v>
      </c>
      <c r="F26" t="s">
        <v>47</v>
      </c>
      <c r="G26" s="2">
        <v>45927</v>
      </c>
      <c r="H26" s="2"/>
      <c r="I26" s="3">
        <v>250000</v>
      </c>
      <c r="K26" t="s">
        <v>36</v>
      </c>
    </row>
    <row r="27" spans="1:13" x14ac:dyDescent="0.45">
      <c r="A27" t="s">
        <v>84</v>
      </c>
      <c r="B27" t="s">
        <v>85</v>
      </c>
      <c r="C27" t="s">
        <v>11</v>
      </c>
      <c r="D27" t="s">
        <v>33</v>
      </c>
      <c r="E27" t="s">
        <v>34</v>
      </c>
      <c r="F27" t="s">
        <v>35</v>
      </c>
      <c r="G27" s="2">
        <v>45338</v>
      </c>
      <c r="H27" s="2"/>
      <c r="I27" s="3">
        <v>750000</v>
      </c>
      <c r="K27" t="s">
        <v>15</v>
      </c>
    </row>
    <row r="28" spans="1:13" x14ac:dyDescent="0.45">
      <c r="A28" t="s">
        <v>86</v>
      </c>
      <c r="B28" t="s">
        <v>87</v>
      </c>
      <c r="C28" t="s">
        <v>82</v>
      </c>
      <c r="D28" t="s">
        <v>55</v>
      </c>
      <c r="E28" t="s">
        <v>29</v>
      </c>
      <c r="F28" t="s">
        <v>35</v>
      </c>
      <c r="G28" s="2">
        <v>44562</v>
      </c>
      <c r="H28" s="2"/>
      <c r="I28" s="3">
        <v>150000</v>
      </c>
      <c r="K28" t="s">
        <v>36</v>
      </c>
    </row>
    <row r="29" spans="1:13" x14ac:dyDescent="0.45">
      <c r="A29" t="s">
        <v>88</v>
      </c>
      <c r="B29" t="s">
        <v>89</v>
      </c>
      <c r="C29" t="s">
        <v>82</v>
      </c>
      <c r="D29" t="s">
        <v>55</v>
      </c>
      <c r="E29" t="s">
        <v>29</v>
      </c>
      <c r="F29" t="s">
        <v>35</v>
      </c>
      <c r="G29" s="2">
        <v>45467</v>
      </c>
      <c r="H29" s="2"/>
      <c r="I29" s="3">
        <v>750000</v>
      </c>
      <c r="K29" t="s">
        <v>36</v>
      </c>
    </row>
    <row r="30" spans="1:13" x14ac:dyDescent="0.45">
      <c r="A30" t="s">
        <v>90</v>
      </c>
      <c r="B30" t="s">
        <v>91</v>
      </c>
      <c r="C30" t="s">
        <v>11</v>
      </c>
      <c r="D30" t="s">
        <v>28</v>
      </c>
      <c r="E30" t="s">
        <v>29</v>
      </c>
      <c r="F30" t="s">
        <v>14</v>
      </c>
      <c r="G30" s="2">
        <v>45921</v>
      </c>
      <c r="H30" s="2"/>
      <c r="I30" s="3">
        <v>750000</v>
      </c>
      <c r="K30" t="s">
        <v>30</v>
      </c>
    </row>
    <row r="31" spans="1:13" x14ac:dyDescent="0.45">
      <c r="A31" t="s">
        <v>92</v>
      </c>
      <c r="B31" t="s">
        <v>93</v>
      </c>
      <c r="C31" t="s">
        <v>11</v>
      </c>
      <c r="D31" t="s">
        <v>65</v>
      </c>
      <c r="E31" t="s">
        <v>13</v>
      </c>
      <c r="F31" t="s">
        <v>14</v>
      </c>
      <c r="G31" s="2">
        <v>44969</v>
      </c>
      <c r="H31" s="2"/>
      <c r="I31" s="3">
        <v>100000</v>
      </c>
      <c r="K31" t="s">
        <v>36</v>
      </c>
    </row>
    <row r="32" spans="1:13" x14ac:dyDescent="0.45">
      <c r="A32" t="s">
        <v>94</v>
      </c>
      <c r="B32" t="s">
        <v>95</v>
      </c>
      <c r="C32" t="s">
        <v>82</v>
      </c>
      <c r="D32" t="s">
        <v>96</v>
      </c>
      <c r="E32" t="s">
        <v>97</v>
      </c>
      <c r="F32" t="s">
        <v>52</v>
      </c>
      <c r="G32" s="2">
        <v>45851</v>
      </c>
      <c r="H32" s="2"/>
      <c r="I32" s="3">
        <v>500000</v>
      </c>
      <c r="K32" t="s">
        <v>36</v>
      </c>
    </row>
    <row r="33" spans="1:11" x14ac:dyDescent="0.45">
      <c r="A33" t="s">
        <v>98</v>
      </c>
      <c r="B33" t="s">
        <v>99</v>
      </c>
      <c r="C33" t="s">
        <v>11</v>
      </c>
      <c r="D33" t="s">
        <v>96</v>
      </c>
      <c r="E33" t="s">
        <v>97</v>
      </c>
      <c r="F33" t="s">
        <v>52</v>
      </c>
      <c r="G33" s="2">
        <v>45970</v>
      </c>
      <c r="H33" s="2"/>
      <c r="I33" s="3">
        <v>50000</v>
      </c>
      <c r="K33" t="s">
        <v>15</v>
      </c>
    </row>
    <row r="34" spans="1:11" x14ac:dyDescent="0.45">
      <c r="A34" t="s">
        <v>100</v>
      </c>
      <c r="B34" t="s">
        <v>101</v>
      </c>
      <c r="C34" t="s">
        <v>11</v>
      </c>
      <c r="D34" t="s">
        <v>83</v>
      </c>
      <c r="E34" t="s">
        <v>83</v>
      </c>
      <c r="F34" t="s">
        <v>47</v>
      </c>
      <c r="G34" s="2">
        <v>45987</v>
      </c>
      <c r="H34" s="2"/>
      <c r="I34" s="3">
        <v>500000</v>
      </c>
      <c r="K34" t="s">
        <v>30</v>
      </c>
    </row>
    <row r="35" spans="1:11" x14ac:dyDescent="0.45">
      <c r="A35" t="s">
        <v>102</v>
      </c>
      <c r="B35" t="s">
        <v>103</v>
      </c>
      <c r="C35" t="s">
        <v>27</v>
      </c>
      <c r="D35" t="s">
        <v>83</v>
      </c>
      <c r="E35" t="s">
        <v>83</v>
      </c>
      <c r="F35" t="s">
        <v>47</v>
      </c>
      <c r="G35" s="2">
        <v>45929</v>
      </c>
      <c r="H35" s="2"/>
      <c r="I35" s="3">
        <v>500000</v>
      </c>
      <c r="K35" t="s">
        <v>22</v>
      </c>
    </row>
    <row r="36" spans="1:11" x14ac:dyDescent="0.45">
      <c r="A36" t="s">
        <v>104</v>
      </c>
      <c r="B36" t="s">
        <v>105</v>
      </c>
      <c r="C36" t="s">
        <v>11</v>
      </c>
      <c r="D36" t="s">
        <v>106</v>
      </c>
      <c r="E36" t="s">
        <v>107</v>
      </c>
      <c r="F36" t="s">
        <v>52</v>
      </c>
      <c r="G36" s="2">
        <v>45684</v>
      </c>
      <c r="H36" s="2"/>
      <c r="I36" s="3">
        <v>250000</v>
      </c>
      <c r="K36" t="s">
        <v>15</v>
      </c>
    </row>
    <row r="37" spans="1:11" x14ac:dyDescent="0.45">
      <c r="A37" t="s">
        <v>108</v>
      </c>
      <c r="B37" t="s">
        <v>109</v>
      </c>
      <c r="C37" t="s">
        <v>27</v>
      </c>
      <c r="D37" t="s">
        <v>96</v>
      </c>
      <c r="E37" t="s">
        <v>97</v>
      </c>
      <c r="F37" t="s">
        <v>52</v>
      </c>
      <c r="G37" s="2">
        <v>45867</v>
      </c>
      <c r="H37" s="2"/>
      <c r="I37" s="3">
        <v>150000</v>
      </c>
      <c r="K37" t="s">
        <v>15</v>
      </c>
    </row>
    <row r="38" spans="1:11" x14ac:dyDescent="0.45">
      <c r="A38" t="s">
        <v>110</v>
      </c>
      <c r="B38" t="s">
        <v>111</v>
      </c>
      <c r="C38" t="s">
        <v>11</v>
      </c>
      <c r="D38" t="s">
        <v>65</v>
      </c>
      <c r="E38" t="s">
        <v>13</v>
      </c>
      <c r="F38" t="s">
        <v>14</v>
      </c>
      <c r="G38" s="2">
        <v>45147</v>
      </c>
      <c r="H38" s="2"/>
      <c r="I38" s="3">
        <v>100000</v>
      </c>
      <c r="K38" t="s">
        <v>36</v>
      </c>
    </row>
    <row r="39" spans="1:11" x14ac:dyDescent="0.45">
      <c r="A39" t="s">
        <v>112</v>
      </c>
      <c r="B39" t="s">
        <v>113</v>
      </c>
      <c r="C39" t="s">
        <v>11</v>
      </c>
      <c r="D39" t="s">
        <v>33</v>
      </c>
      <c r="E39" t="s">
        <v>34</v>
      </c>
      <c r="F39" t="s">
        <v>35</v>
      </c>
      <c r="G39" s="2">
        <v>45346</v>
      </c>
      <c r="H39" s="2"/>
      <c r="I39" s="3">
        <v>750000</v>
      </c>
      <c r="K39" t="s">
        <v>36</v>
      </c>
    </row>
  </sheetData>
  <dataValidations count="7">
    <dataValidation type="whole" allowBlank="1" showInputMessage="1" showErrorMessage="1" errorTitle="Wrong Age" error="Age can be betrween 18 to 60_x000a_" sqref="H5:H1048576" xr:uid="{6780796F-3A4E-4C34-9371-0A4E1CFA6231}">
      <formula1>18</formula1>
      <formula2>60</formula2>
    </dataValidation>
    <dataValidation type="list" allowBlank="1" showInputMessage="1" showErrorMessage="1" errorTitle="Wrong Tier" error="Please select the tier from the given values only_x000a_" promptTitle="Please Enter a Valid Tier" sqref="K5:K1048576" xr:uid="{CE235AF8-E535-489F-8AD2-FCED80A3F6F7}">
      <formula1>$M$11:$M$14</formula1>
    </dataValidation>
    <dataValidation type="date" allowBlank="1" showInputMessage="1" showErrorMessage="1" errorTitle="Please Enter Registration" error="Registration date can be from 2024 to 2025" promptTitle="Enter the Date" sqref="G5:G1048576" xr:uid="{09541AD7-6C6B-47E3-BBE6-647CDB470E71}">
      <formula1>45292</formula1>
      <formula2>46022</formula2>
    </dataValidation>
    <dataValidation type="list" allowBlank="1" showInputMessage="1" showErrorMessage="1" errorTitle="Enter Correct Region" error="Region can only be from dropdown menu/list" promptTitle="Please enter you Region" sqref="F5:F1048576" xr:uid="{9349493D-4A7C-42AB-BAC1-3E751A71B814}">
      <formula1>$M$16:$M$20</formula1>
    </dataValidation>
    <dataValidation type="time" allowBlank="1" showInputMessage="1" showErrorMessage="1" errorTitle="Wrong Time" error="The Time should be From 09 AM to 06 PM" promptTitle="Enter the Time" prompt="Please Enter your Entry time in office in HH:MM format" sqref="L5:L1048576" xr:uid="{A37205F2-6092-465E-B4E3-158C1F67E64E}">
      <formula1>0.375</formula1>
      <formula2>0.75</formula2>
    </dataValidation>
    <dataValidation type="textLength" operator="equal" allowBlank="1" showInputMessage="1" showErrorMessage="1" errorTitle="Incorrect Phone Number" error="The phone Number should be of 10 digits" promptTitle="Please Enter Your Phone Number" prompt="Enter your personal/office phone number" sqref="J5:J1048576" xr:uid="{968F1013-E82D-4867-98CB-6578F45C9B27}">
      <formula1>10</formula1>
    </dataValidation>
    <dataValidation type="decimal" allowBlank="1" showInputMessage="1" showErrorMessage="1" errorTitle="Wrong Input" error="The Totla price can be a decimal value ranging from 0 to 1000000" promptTitle="Please Enter the Total Price" prompt="Enter the  price of the product or Service purchased" sqref="I5:I1048576" xr:uid="{873780F5-2F4F-4FAE-A7BD-5847059BA5C7}">
      <formula1>1</formula1>
      <formula2>1000000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70070-410F-42DE-878E-6E3CC384F9B3}">
  <dimension ref="A1:G93"/>
  <sheetViews>
    <sheetView topLeftCell="A76" zoomScale="160" zoomScaleNormal="160" workbookViewId="0">
      <selection activeCell="C93" sqref="C93"/>
    </sheetView>
  </sheetViews>
  <sheetFormatPr defaultRowHeight="14.25" x14ac:dyDescent="0.45"/>
  <cols>
    <col min="2" max="2" width="10.796875" customWidth="1"/>
    <col min="3" max="3" width="15.06640625" customWidth="1"/>
  </cols>
  <sheetData>
    <row r="1" spans="1:4" ht="21" x14ac:dyDescent="0.65">
      <c r="D1" s="5" t="s">
        <v>114</v>
      </c>
    </row>
    <row r="2" spans="1:4" ht="21" x14ac:dyDescent="0.65">
      <c r="C2" s="4" t="s">
        <v>124</v>
      </c>
      <c r="D2" s="5"/>
    </row>
    <row r="4" spans="1:4" x14ac:dyDescent="0.45">
      <c r="C4" s="4" t="s">
        <v>115</v>
      </c>
    </row>
    <row r="5" spans="1:4" x14ac:dyDescent="0.45">
      <c r="C5" t="s">
        <v>116</v>
      </c>
    </row>
    <row r="6" spans="1:4" x14ac:dyDescent="0.45">
      <c r="C6" t="s">
        <v>117</v>
      </c>
    </row>
    <row r="8" spans="1:4" x14ac:dyDescent="0.45">
      <c r="C8" t="s">
        <v>122</v>
      </c>
    </row>
    <row r="9" spans="1:4" x14ac:dyDescent="0.45">
      <c r="C9" t="s">
        <v>118</v>
      </c>
    </row>
    <row r="10" spans="1:4" x14ac:dyDescent="0.45">
      <c r="C10" t="s">
        <v>123</v>
      </c>
    </row>
    <row r="11" spans="1:4" x14ac:dyDescent="0.45">
      <c r="A11" t="s">
        <v>119</v>
      </c>
      <c r="C11" t="e">
        <f>VLOOKUP("CUST-0035",Customer!$A$2:$J$35,2,FALSE)</f>
        <v>#N/A</v>
      </c>
      <c r="D11" t="str">
        <f>_xlfn.XLOOKUP("CUST-0035",Customer!A2:A35,Customer!B2:B35,"Customer ID not available")</f>
        <v>Customer ID not available</v>
      </c>
    </row>
    <row r="12" spans="1:4" x14ac:dyDescent="0.45">
      <c r="B12" t="s">
        <v>120</v>
      </c>
      <c r="C12" t="str">
        <f>_xlfn.IFNA(VLOOKUP("CUST-0035",Customer!$A$2:$J$35,2,FALSE),"Check customer ID")</f>
        <v>Check customer ID</v>
      </c>
    </row>
    <row r="13" spans="1:4" x14ac:dyDescent="0.45">
      <c r="C13" t="s">
        <v>121</v>
      </c>
    </row>
    <row r="14" spans="1:4" x14ac:dyDescent="0.45">
      <c r="B14" s="8" t="s">
        <v>156</v>
      </c>
    </row>
    <row r="15" spans="1:4" x14ac:dyDescent="0.45">
      <c r="C15" s="4" t="s">
        <v>125</v>
      </c>
    </row>
    <row r="16" spans="1:4" x14ac:dyDescent="0.45">
      <c r="C16" t="s">
        <v>126</v>
      </c>
    </row>
    <row r="17" spans="2:7" x14ac:dyDescent="0.45">
      <c r="C17" t="s">
        <v>127</v>
      </c>
      <c r="D17" t="s">
        <v>128</v>
      </c>
    </row>
    <row r="18" spans="2:7" x14ac:dyDescent="0.45">
      <c r="C18" t="s">
        <v>129</v>
      </c>
    </row>
    <row r="19" spans="2:7" x14ac:dyDescent="0.45">
      <c r="C19" s="6" t="s">
        <v>130</v>
      </c>
      <c r="D19">
        <v>2500</v>
      </c>
      <c r="E19" s="6"/>
      <c r="F19" s="6"/>
    </row>
    <row r="20" spans="2:7" x14ac:dyDescent="0.45">
      <c r="C20">
        <f>VALUE(C19)</f>
        <v>2600</v>
      </c>
      <c r="D20" s="6"/>
    </row>
    <row r="21" spans="2:7" x14ac:dyDescent="0.45">
      <c r="C21" t="s">
        <v>131</v>
      </c>
    </row>
    <row r="22" spans="2:7" x14ac:dyDescent="0.45">
      <c r="C22" s="6"/>
      <c r="E22">
        <f>SUM(VALUE(C19),D19)</f>
        <v>5100</v>
      </c>
    </row>
    <row r="23" spans="2:7" x14ac:dyDescent="0.45">
      <c r="C23" s="6"/>
      <c r="D23" t="s">
        <v>160</v>
      </c>
      <c r="E23">
        <v>452</v>
      </c>
      <c r="F23" t="e">
        <f>SUM(D23+E23)</f>
        <v>#VALUE!</v>
      </c>
      <c r="G23" t="str">
        <f>IFERROR(SUM(D23+E23),"Wrong data type")</f>
        <v>Wrong data type</v>
      </c>
    </row>
    <row r="24" spans="2:7" x14ac:dyDescent="0.45">
      <c r="C24" s="4" t="s">
        <v>132</v>
      </c>
    </row>
    <row r="25" spans="2:7" x14ac:dyDescent="0.45">
      <c r="C25" t="s">
        <v>133</v>
      </c>
    </row>
    <row r="27" spans="2:7" x14ac:dyDescent="0.45">
      <c r="C27" s="4" t="s">
        <v>134</v>
      </c>
      <c r="D27" t="str">
        <f>TRIM(D26)</f>
        <v/>
      </c>
    </row>
    <row r="28" spans="2:7" x14ac:dyDescent="0.45">
      <c r="C28" t="s">
        <v>135</v>
      </c>
    </row>
    <row r="29" spans="2:7" x14ac:dyDescent="0.45">
      <c r="B29" t="s">
        <v>137</v>
      </c>
      <c r="C29">
        <v>5632</v>
      </c>
    </row>
    <row r="30" spans="2:7" x14ac:dyDescent="0.45">
      <c r="B30" t="s">
        <v>138</v>
      </c>
      <c r="C30">
        <v>0</v>
      </c>
    </row>
    <row r="31" spans="2:7" x14ac:dyDescent="0.45">
      <c r="C31" t="s">
        <v>136</v>
      </c>
      <c r="D31" t="e">
        <f>C29/C30</f>
        <v>#DIV/0!</v>
      </c>
    </row>
    <row r="33" spans="3:7" x14ac:dyDescent="0.45">
      <c r="C33" t="s">
        <v>139</v>
      </c>
    </row>
    <row r="34" spans="3:7" x14ac:dyDescent="0.45">
      <c r="C34" t="s">
        <v>142</v>
      </c>
    </row>
    <row r="36" spans="3:7" x14ac:dyDescent="0.45">
      <c r="C36" s="4" t="s">
        <v>143</v>
      </c>
    </row>
    <row r="37" spans="3:7" x14ac:dyDescent="0.45">
      <c r="C37" t="s">
        <v>144</v>
      </c>
    </row>
    <row r="38" spans="3:7" x14ac:dyDescent="0.45">
      <c r="C38">
        <v>12</v>
      </c>
    </row>
    <row r="39" spans="3:7" x14ac:dyDescent="0.45">
      <c r="C39">
        <v>45</v>
      </c>
    </row>
    <row r="40" spans="3:7" x14ac:dyDescent="0.45">
      <c r="C40">
        <v>45</v>
      </c>
    </row>
    <row r="41" spans="3:7" x14ac:dyDescent="0.45">
      <c r="C41">
        <f>SUM(C38:C40)</f>
        <v>102</v>
      </c>
    </row>
    <row r="42" spans="3:7" x14ac:dyDescent="0.45">
      <c r="C42" s="4" t="s">
        <v>145</v>
      </c>
      <c r="D42" t="s">
        <v>146</v>
      </c>
      <c r="G42" t="str" cm="1">
        <f t="array" ref="G42">IFERROR(AVERAGE?,"Formula Spelling Error")</f>
        <v>Formula Spelling Error</v>
      </c>
    </row>
    <row r="44" spans="3:7" x14ac:dyDescent="0.45">
      <c r="C44" s="4" t="s">
        <v>147</v>
      </c>
    </row>
    <row r="45" spans="3:7" x14ac:dyDescent="0.45">
      <c r="C45" t="s">
        <v>148</v>
      </c>
    </row>
    <row r="46" spans="3:7" x14ac:dyDescent="0.45">
      <c r="C46" t="e">
        <f>-25^(1/2)</f>
        <v>#NUM!</v>
      </c>
      <c r="D46" t="s">
        <v>149</v>
      </c>
    </row>
    <row r="47" spans="3:7" x14ac:dyDescent="0.45">
      <c r="C47" t="e">
        <f>SQRT(-25)</f>
        <v>#NUM!</v>
      </c>
      <c r="D47" t="e">
        <f>100^1000</f>
        <v>#NUM!</v>
      </c>
      <c r="E47" t="str">
        <f>IFERROR(SQRT(-25),"Negative Value")</f>
        <v>Negative Value</v>
      </c>
    </row>
    <row r="48" spans="3:7" x14ac:dyDescent="0.45">
      <c r="C48" t="s">
        <v>150</v>
      </c>
    </row>
    <row r="50" spans="2:6" x14ac:dyDescent="0.45">
      <c r="C50" s="4" t="s">
        <v>151</v>
      </c>
    </row>
    <row r="51" spans="2:6" x14ac:dyDescent="0.45">
      <c r="C51" t="s">
        <v>152</v>
      </c>
    </row>
    <row r="52" spans="2:6" x14ac:dyDescent="0.45">
      <c r="C52">
        <v>45</v>
      </c>
      <c r="D52">
        <v>748</v>
      </c>
      <c r="E52" t="e">
        <f>SUM(C52:C55 D52:D55)</f>
        <v>#NULL!</v>
      </c>
      <c r="F52" t="str">
        <f>IFERROR(SUM(C52:CD5552:D55),"Wrong range selected")</f>
        <v>Wrong range selected</v>
      </c>
    </row>
    <row r="53" spans="2:6" x14ac:dyDescent="0.45">
      <c r="C53">
        <v>145</v>
      </c>
      <c r="D53">
        <v>45</v>
      </c>
    </row>
    <row r="54" spans="2:6" x14ac:dyDescent="0.45">
      <c r="C54">
        <v>4156</v>
      </c>
      <c r="D54">
        <v>494</v>
      </c>
    </row>
    <row r="56" spans="2:6" x14ac:dyDescent="0.45">
      <c r="C56" t="s">
        <v>153</v>
      </c>
    </row>
    <row r="57" spans="2:6" x14ac:dyDescent="0.45">
      <c r="C57">
        <f>SUM(C52:C54)</f>
        <v>4346</v>
      </c>
      <c r="D57">
        <f>SUM(D52:D54)</f>
        <v>1287</v>
      </c>
      <c r="E57">
        <f>SUM(C57:D57)</f>
        <v>5633</v>
      </c>
    </row>
    <row r="59" spans="2:6" x14ac:dyDescent="0.45">
      <c r="C59" s="4" t="s">
        <v>154</v>
      </c>
    </row>
    <row r="60" spans="2:6" x14ac:dyDescent="0.45">
      <c r="C60" t="s">
        <v>155</v>
      </c>
    </row>
    <row r="61" spans="2:6" x14ac:dyDescent="0.45">
      <c r="B61" s="7">
        <v>456412310165496</v>
      </c>
    </row>
    <row r="64" spans="2:6" ht="21" x14ac:dyDescent="0.65">
      <c r="C64" s="9" t="s">
        <v>157</v>
      </c>
    </row>
    <row r="66" spans="3:3" x14ac:dyDescent="0.45">
      <c r="C66" s="4" t="s">
        <v>158</v>
      </c>
    </row>
    <row r="67" spans="3:3" x14ac:dyDescent="0.45">
      <c r="C67" t="s">
        <v>166</v>
      </c>
    </row>
    <row r="68" spans="3:3" x14ac:dyDescent="0.45">
      <c r="C68" t="s">
        <v>159</v>
      </c>
    </row>
    <row r="69" spans="3:3" x14ac:dyDescent="0.45">
      <c r="C69" t="s">
        <v>161</v>
      </c>
    </row>
    <row r="70" spans="3:3" x14ac:dyDescent="0.45">
      <c r="C70" t="s">
        <v>162</v>
      </c>
    </row>
    <row r="72" spans="3:3" x14ac:dyDescent="0.45">
      <c r="C72" s="4" t="s">
        <v>163</v>
      </c>
    </row>
    <row r="73" spans="3:3" x14ac:dyDescent="0.45">
      <c r="C73" t="s">
        <v>167</v>
      </c>
    </row>
    <row r="74" spans="3:3" x14ac:dyDescent="0.45">
      <c r="C74" s="4" t="s">
        <v>164</v>
      </c>
    </row>
    <row r="76" spans="3:3" x14ac:dyDescent="0.45">
      <c r="C76" t="s">
        <v>165</v>
      </c>
    </row>
    <row r="77" spans="3:3" x14ac:dyDescent="0.45">
      <c r="C77" t="e">
        <f>VLOOKUP("CUST-00281",Customer!A2:J35,5,FALSE)</f>
        <v>#N/A</v>
      </c>
    </row>
    <row r="78" spans="3:3" x14ac:dyDescent="0.45">
      <c r="C78" t="str">
        <f>_xlfn.IFNA(VLOOKUP("CUST-00281",Customer!A2:J35,5,FALSE),"Customer Not Found")</f>
        <v>Customer Not Found</v>
      </c>
    </row>
    <row r="79" spans="3:3" x14ac:dyDescent="0.45">
      <c r="C79" t="str">
        <f>IFERROR(VLOOKUP("CUST-00281",Customer!A2:J35,5,FALSE),"Customer Not Found")</f>
        <v>Customer Not Found</v>
      </c>
    </row>
    <row r="81" spans="3:5" x14ac:dyDescent="0.45">
      <c r="C81" s="4" t="s">
        <v>168</v>
      </c>
    </row>
    <row r="82" spans="3:5" x14ac:dyDescent="0.45">
      <c r="C82" t="s">
        <v>169</v>
      </c>
    </row>
    <row r="83" spans="3:5" x14ac:dyDescent="0.45">
      <c r="C83">
        <f>ERROR.TYPE(C77)</f>
        <v>7</v>
      </c>
    </row>
    <row r="84" spans="3:5" x14ac:dyDescent="0.45">
      <c r="C84" s="4" t="s">
        <v>170</v>
      </c>
    </row>
    <row r="85" spans="3:5" x14ac:dyDescent="0.45">
      <c r="C85" t="s">
        <v>171</v>
      </c>
    </row>
    <row r="87" spans="3:5" x14ac:dyDescent="0.45">
      <c r="C87" s="4" t="s">
        <v>172</v>
      </c>
    </row>
    <row r="88" spans="3:5" x14ac:dyDescent="0.45">
      <c r="C88" s="10" t="s">
        <v>173</v>
      </c>
      <c r="D88" s="10"/>
      <c r="E88" s="10"/>
    </row>
    <row r="89" spans="3:5" x14ac:dyDescent="0.45">
      <c r="C89" s="10" t="s">
        <v>174</v>
      </c>
      <c r="D89" s="10"/>
      <c r="E89" s="10"/>
    </row>
    <row r="90" spans="3:5" x14ac:dyDescent="0.45">
      <c r="C90" s="10" t="s">
        <v>175</v>
      </c>
      <c r="D90" s="10"/>
      <c r="E90" s="10"/>
    </row>
    <row r="93" spans="3:5" x14ac:dyDescent="0.45">
      <c r="C93" s="1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Data Validation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YADAV</dc:creator>
  <cp:lastModifiedBy>SHIVANSH YADAV</cp:lastModifiedBy>
  <dcterms:created xsi:type="dcterms:W3CDTF">2026-07-17T15:06:07Z</dcterms:created>
  <dcterms:modified xsi:type="dcterms:W3CDTF">2026-07-17T17:31:01Z</dcterms:modified>
</cp:coreProperties>
</file>