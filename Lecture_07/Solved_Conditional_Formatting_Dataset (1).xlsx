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va\Desktop\lectures\"/>
    </mc:Choice>
  </mc:AlternateContent>
  <xr:revisionPtr revIDLastSave="0" documentId="13_ncr:1_{AB2F8CCB-CBF5-43CB-99A1-0C86A1EE5AC5}" xr6:coauthVersionLast="47" xr6:coauthVersionMax="47" xr10:uidLastSave="{00000000-0000-0000-0000-000000000000}"/>
  <bookViews>
    <workbookView xWindow="34452" yWindow="-108" windowWidth="23256" windowHeight="13176" xr2:uid="{00000000-000D-0000-FFFF-FFFF00000000}"/>
  </bookViews>
  <sheets>
    <sheet name="Sales_Data" sheetId="1" r:id="rId1"/>
    <sheet name="Sheet3" sheetId="4" r:id="rId2"/>
    <sheet name="Sheet2" sheetId="3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M3" i="1"/>
  <c r="M4" i="1" a="1"/>
  <c r="M4" i="1" s="1"/>
  <c r="M5" i="1" a="1"/>
  <c r="M5" i="1"/>
  <c r="M6" i="1" a="1"/>
  <c r="M6" i="1"/>
  <c r="M7" i="1" a="1"/>
  <c r="M7" i="1"/>
  <c r="M8" i="1" a="1"/>
  <c r="M8" i="1"/>
  <c r="M9" i="1" a="1"/>
  <c r="M9" i="1"/>
  <c r="M10" i="1" a="1"/>
  <c r="M10" i="1"/>
  <c r="M11" i="1" a="1"/>
  <c r="M11" i="1"/>
  <c r="M12" i="1" a="1"/>
  <c r="M12" i="1" s="1"/>
  <c r="M13" i="1" a="1"/>
  <c r="M13" i="1"/>
  <c r="M14" i="1" a="1"/>
  <c r="M14" i="1"/>
  <c r="M15" i="1" a="1"/>
  <c r="M15" i="1" s="1"/>
  <c r="M16" i="1" a="1"/>
  <c r="M16" i="1"/>
  <c r="M17" i="1" a="1"/>
  <c r="M17" i="1"/>
  <c r="M18" i="1" a="1"/>
  <c r="M18" i="1"/>
  <c r="M19" i="1" a="1"/>
  <c r="M19" i="1"/>
  <c r="M20" i="1" a="1"/>
  <c r="M20" i="1" s="1"/>
  <c r="M21" i="1" a="1"/>
  <c r="M21" i="1"/>
  <c r="M22" i="1" a="1"/>
  <c r="M22" i="1"/>
  <c r="M23" i="1" a="1"/>
  <c r="M23" i="1"/>
  <c r="M24" i="1" a="1"/>
  <c r="M24" i="1"/>
  <c r="M25" i="1" a="1"/>
  <c r="M25" i="1"/>
  <c r="M26" i="1" a="1"/>
  <c r="M26" i="1"/>
  <c r="M27" i="1" a="1"/>
  <c r="M27" i="1"/>
  <c r="M28" i="1" a="1"/>
  <c r="M28" i="1" s="1"/>
  <c r="M29" i="1" a="1"/>
  <c r="M29" i="1"/>
  <c r="M30" i="1" a="1"/>
  <c r="M30" i="1"/>
  <c r="M31" i="1" a="1"/>
  <c r="M31" i="1"/>
  <c r="M32" i="1" a="1"/>
  <c r="M32" i="1"/>
  <c r="M33" i="1" a="1"/>
  <c r="M33" i="1"/>
  <c r="M34" i="1" a="1"/>
  <c r="M34" i="1"/>
  <c r="M35" i="1" a="1"/>
  <c r="M35" i="1"/>
  <c r="M36" i="1" a="1"/>
  <c r="M36" i="1" s="1"/>
  <c r="M37" i="1" a="1"/>
  <c r="M37" i="1"/>
  <c r="M2" i="1" a="1"/>
  <c r="M2" i="1"/>
  <c r="M3" i="3"/>
  <c r="O23" i="1"/>
  <c r="N21" i="1" a="1"/>
  <c r="N2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<sst xmlns="http://schemas.openxmlformats.org/spreadsheetml/2006/main" count="1129" uniqueCount="362">
  <si>
    <t>Order ID</t>
  </si>
  <si>
    <t>Order Date</t>
  </si>
  <si>
    <t>Region</t>
  </si>
  <si>
    <t>Salesperson</t>
  </si>
  <si>
    <t>Product Category</t>
  </si>
  <si>
    <t>Product</t>
  </si>
  <si>
    <t>Units Sold</t>
  </si>
  <si>
    <t>Unit Price</t>
  </si>
  <si>
    <t>Revenue</t>
  </si>
  <si>
    <t>Profit %</t>
  </si>
  <si>
    <t>Status</t>
  </si>
  <si>
    <t>Customer Rating</t>
  </si>
  <si>
    <t>ORD-100001</t>
  </si>
  <si>
    <t>North</t>
  </si>
  <si>
    <t>Rahul</t>
  </si>
  <si>
    <t>Electronics</t>
  </si>
  <si>
    <t>Laptop</t>
  </si>
  <si>
    <t>Completed</t>
  </si>
  <si>
    <t>ORD-100002</t>
  </si>
  <si>
    <t>South</t>
  </si>
  <si>
    <t>Priya</t>
  </si>
  <si>
    <t>Monitor</t>
  </si>
  <si>
    <t>Pending</t>
  </si>
  <si>
    <t>ORD-100003</t>
  </si>
  <si>
    <t>East</t>
  </si>
  <si>
    <t>Amit</t>
  </si>
  <si>
    <t>Furniture</t>
  </si>
  <si>
    <t>Office Chair</t>
  </si>
  <si>
    <t>Cancelled</t>
  </si>
  <si>
    <t>ORD-100004</t>
  </si>
  <si>
    <t>West</t>
  </si>
  <si>
    <t>Sneha</t>
  </si>
  <si>
    <t>Accessories</t>
  </si>
  <si>
    <t>Keyboard</t>
  </si>
  <si>
    <t>ORD-100005</t>
  </si>
  <si>
    <t>Karan</t>
  </si>
  <si>
    <t>Mouse</t>
  </si>
  <si>
    <t>ORD-100006</t>
  </si>
  <si>
    <t>Neha</t>
  </si>
  <si>
    <t>Networking</t>
  </si>
  <si>
    <t>Router</t>
  </si>
  <si>
    <t>ORD-100007</t>
  </si>
  <si>
    <t>ORD-100008</t>
  </si>
  <si>
    <t>ORD-100009</t>
  </si>
  <si>
    <t>ORD-100010</t>
  </si>
  <si>
    <t>ORD-100011</t>
  </si>
  <si>
    <t>ORD-100012</t>
  </si>
  <si>
    <t>ORD-100013</t>
  </si>
  <si>
    <t>ORD-100014</t>
  </si>
  <si>
    <t>ORD-100015</t>
  </si>
  <si>
    <t>ORD-100016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</si>
  <si>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</si>
  <si>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</si>
  <si>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</si>
  <si>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</si>
  <si>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</si>
  <si>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</si>
  <si>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</si>
  <si>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</si>
  <si>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</si>
  <si>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</si>
  <si>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</si>
  <si>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</si>
  <si>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</si>
  <si>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</si>
  <si>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</si>
  <si>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</si>
  <si>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</si>
  <si>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</si>
  <si>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</si>
  <si>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</si>
  <si>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</si>
  <si>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</si>
  <si>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</si>
  <si>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</si>
  <si>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</si>
  <si>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</si>
  <si>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</si>
  <si>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</si>
  <si>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</si>
  <si>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</si>
  <si>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</si>
  <si>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</si>
  <si>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</si>
  <si>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</si>
  <si>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</si>
  <si>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</si>
  <si>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</si>
  <si>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</si>
  <si>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</si>
  <si>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</si>
  <si>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</si>
  <si>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</si>
  <si>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</si>
  <si>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</si>
  <si>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</si>
  <si>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</si>
  <si>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</si>
  <si>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</si>
  <si>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</si>
  <si>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</si>
  <si>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</si>
  <si>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</si>
  <si>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</si>
  <si>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</si>
  <si>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</si>
  <si>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</si>
  <si>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</si>
  <si>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</si>
  <si>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</si>
  <si>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</si>
  <si>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</si>
  <si>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</si>
  <si>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</si>
  <si>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</si>
  <si>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</si>
  <si>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</si>
  <si>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</si>
  <si>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</si>
  <si>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</si>
  <si>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</si>
  <si>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</si>
  <si>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</si>
  <si>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</si>
  <si>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</si>
  <si>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</si>
  <si>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</si>
  <si>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</si>
  <si>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</si>
  <si>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</si>
  <si>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</si>
  <si>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</si>
  <si>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</si>
  <si>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</si>
  <si>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</si>
  <si>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Conditional Formatting = Rules that change cell color, font, or style based on values</t>
  </si>
  <si>
    <t>It helps us in spotting trends, errors, and performance easily and quickly</t>
  </si>
  <si>
    <t>Example:</t>
  </si>
  <si>
    <t>1. Highlight cells greater than ₹1,00,000 sales</t>
  </si>
  <si>
    <t>2. Show the profit percentage less than 10% in red</t>
  </si>
  <si>
    <t>3. Mark Successful orders as Green and Cancelled/Pending orders as Grey</t>
  </si>
  <si>
    <t>10% of 30 is 3</t>
  </si>
  <si>
    <t>Product ID</t>
  </si>
  <si>
    <t>Product Name</t>
  </si>
  <si>
    <t>Category</t>
  </si>
  <si>
    <t>Sub-Category</t>
  </si>
  <si>
    <t>Brand</t>
  </si>
  <si>
    <t>Cost Price</t>
  </si>
  <si>
    <t>Supplier ID</t>
  </si>
  <si>
    <t>Stock Quantity</t>
  </si>
  <si>
    <t>PRD-0001</t>
  </si>
  <si>
    <t>Wireless Mouse Pro</t>
  </si>
  <si>
    <t>Logitech</t>
  </si>
  <si>
    <t>SUP-001</t>
  </si>
  <si>
    <t>PRD-0002</t>
  </si>
  <si>
    <t>Mechanical Keyboard</t>
  </si>
  <si>
    <t>Keychron</t>
  </si>
  <si>
    <t>SUP-005</t>
  </si>
  <si>
    <t>PRD-0003</t>
  </si>
  <si>
    <t>Business Laptop 14</t>
  </si>
  <si>
    <t>Computers</t>
  </si>
  <si>
    <t>Lenovo</t>
  </si>
  <si>
    <t>SUP-018</t>
  </si>
  <si>
    <t>PRD-0004</t>
  </si>
  <si>
    <t>Ultrabook 13</t>
  </si>
  <si>
    <t>Dell</t>
  </si>
  <si>
    <t>PRD-0005</t>
  </si>
  <si>
    <t>27-inch Monitor</t>
  </si>
  <si>
    <t>Displays</t>
  </si>
  <si>
    <t>Samsung</t>
  </si>
  <si>
    <t>PRD-0006</t>
  </si>
  <si>
    <t>24-inch Monitor</t>
  </si>
  <si>
    <t>LG</t>
  </si>
  <si>
    <t>PRD-0007</t>
  </si>
  <si>
    <t>USB-C Dock</t>
  </si>
  <si>
    <t>SUP-009</t>
  </si>
  <si>
    <t>PRD-0008</t>
  </si>
  <si>
    <t>Noise Cancelling Headphones</t>
  </si>
  <si>
    <t>Audio</t>
  </si>
  <si>
    <t>Sony</t>
  </si>
  <si>
    <t>SUP-006</t>
  </si>
  <si>
    <t>PRD-0009</t>
  </si>
  <si>
    <t>Webcam HD</t>
  </si>
  <si>
    <t>PRD-0010</t>
  </si>
  <si>
    <t>External SSD 1TB</t>
  </si>
  <si>
    <t>Storage</t>
  </si>
  <si>
    <t>SUP-013</t>
  </si>
  <si>
    <t>PRD-0011</t>
  </si>
  <si>
    <t>Office Chair Ergo</t>
  </si>
  <si>
    <t>Chairs</t>
  </si>
  <si>
    <t>GreenSoul</t>
  </si>
  <si>
    <t>PRD-0012</t>
  </si>
  <si>
    <t>Executive Chair</t>
  </si>
  <si>
    <t>Featherlite</t>
  </si>
  <si>
    <t>PRD-0013</t>
  </si>
  <si>
    <t>Standing Desk</t>
  </si>
  <si>
    <t>Desks</t>
  </si>
  <si>
    <t>IKEA</t>
  </si>
  <si>
    <t>SUP-010</t>
  </si>
  <si>
    <t>PRD-0014</t>
  </si>
  <si>
    <t>Work Desk Compact</t>
  </si>
  <si>
    <t>Godrej</t>
  </si>
  <si>
    <t>SUP-012</t>
  </si>
  <si>
    <t>PRD-0015</t>
  </si>
  <si>
    <t>Filing Cabinet</t>
  </si>
  <si>
    <t>SUP-002</t>
  </si>
  <si>
    <t>PRD-0016</t>
  </si>
  <si>
    <t>Laser Printer</t>
  </si>
  <si>
    <t>Office Equipment</t>
  </si>
  <si>
    <t>Printers</t>
  </si>
  <si>
    <t>HP</t>
  </si>
  <si>
    <t>SUP-003</t>
  </si>
  <si>
    <t>PRD-0017</t>
  </si>
  <si>
    <t>Ink Tank Printer</t>
  </si>
  <si>
    <t>Epson</t>
  </si>
  <si>
    <t>PRD-0018</t>
  </si>
  <si>
    <t>UPS 1KVA</t>
  </si>
  <si>
    <t>Power</t>
  </si>
  <si>
    <t>APC</t>
  </si>
  <si>
    <t>PRD-0019</t>
  </si>
  <si>
    <t>Wi-Fi Router AX3000</t>
  </si>
  <si>
    <t>Routers</t>
  </si>
  <si>
    <t>TP-Link</t>
  </si>
  <si>
    <t>PRD-0020</t>
  </si>
  <si>
    <t>Managed Switch 24-Port</t>
  </si>
  <si>
    <t>Switches</t>
  </si>
  <si>
    <t>Cisco</t>
  </si>
  <si>
    <t>PRD-0021</t>
  </si>
  <si>
    <t>Wireless Mouse Pro V2</t>
  </si>
  <si>
    <t>SUP-015</t>
  </si>
  <si>
    <t>PRD-0022</t>
  </si>
  <si>
    <t>Mechanical Keyboard V2</t>
  </si>
  <si>
    <t>PRD-0023</t>
  </si>
  <si>
    <t>Business Laptop 14 V2</t>
  </si>
  <si>
    <t>PRD-0024</t>
  </si>
  <si>
    <t>Ultrabook 13 V2</t>
  </si>
  <si>
    <t>PRD-0025</t>
  </si>
  <si>
    <t>27-inch Monitor V2</t>
  </si>
  <si>
    <t>SUP-011</t>
  </si>
  <si>
    <t>PRD-0026</t>
  </si>
  <si>
    <t>24-inch Monitor V2</t>
  </si>
  <si>
    <t>PRD-0027</t>
  </si>
  <si>
    <t>USB-C Dock V2</t>
  </si>
  <si>
    <t>PRD-0028</t>
  </si>
  <si>
    <t>Noise Cancelling Headphones V2</t>
  </si>
  <si>
    <t>SUP-014</t>
  </si>
  <si>
    <t>PRD-0029</t>
  </si>
  <si>
    <t>Webcam HD V2</t>
  </si>
  <si>
    <t>PRD-0030</t>
  </si>
  <si>
    <t>External SSD 1TB V2</t>
  </si>
  <si>
    <t>PRD-0031</t>
  </si>
  <si>
    <t>Office Chair Ergo V2</t>
  </si>
  <si>
    <t>PRD-0032</t>
  </si>
  <si>
    <t>Executive Chair V2</t>
  </si>
  <si>
    <t>PRD-0033</t>
  </si>
  <si>
    <t>Standing Desk V2</t>
  </si>
  <si>
    <t>PRD-0034</t>
  </si>
  <si>
    <t>Work Desk Compact V2</t>
  </si>
  <si>
    <t>PRD-0035</t>
  </si>
  <si>
    <t>Filing Cabinet V2</t>
  </si>
  <si>
    <t>PRD-0036</t>
  </si>
  <si>
    <t>Laser Printer V2</t>
  </si>
  <si>
    <t>PRD-0037</t>
  </si>
  <si>
    <t>Ink Tank Printer V2</t>
  </si>
  <si>
    <t>PRD-0038</t>
  </si>
  <si>
    <t>UPS 1KVA V2</t>
  </si>
  <si>
    <t>PRD-0039</t>
  </si>
  <si>
    <t>Wi-Fi Router AX3000 V2</t>
  </si>
  <si>
    <t>SUP-004</t>
  </si>
  <si>
    <t>PRD-0040</t>
  </si>
  <si>
    <t>Managed Switch 24-Port V2</t>
  </si>
  <si>
    <t>SUP-017</t>
  </si>
  <si>
    <t>PRD-0041</t>
  </si>
  <si>
    <t>Wireless Mouse Pro V3</t>
  </si>
  <si>
    <t>PRD-0042</t>
  </si>
  <si>
    <t>Mechanical Keyboard V3</t>
  </si>
  <si>
    <t>PRD-0043</t>
  </si>
  <si>
    <t>Business Laptop 14 V3</t>
  </si>
  <si>
    <t>PRD-0044</t>
  </si>
  <si>
    <t>Ultrabook 13 V3</t>
  </si>
  <si>
    <t>SUP-008</t>
  </si>
  <si>
    <t>PRD-0045</t>
  </si>
  <si>
    <t>27-inch Monitor V3</t>
  </si>
  <si>
    <t>PRD-0046</t>
  </si>
  <si>
    <t>24-inch Monitor V3</t>
  </si>
  <si>
    <t>PRD-0047</t>
  </si>
  <si>
    <t>USB-C Dock V3</t>
  </si>
  <si>
    <t>SUP-016</t>
  </si>
  <si>
    <t>PRD-0048</t>
  </si>
  <si>
    <t>Noise Cancelling Headphones V3</t>
  </si>
  <si>
    <t>PRD-0049</t>
  </si>
  <si>
    <t>Webcam HD V3</t>
  </si>
  <si>
    <t>SUP-007</t>
  </si>
  <si>
    <t>PRD-0050</t>
  </si>
  <si>
    <t>External SSD 1TB V3</t>
  </si>
  <si>
    <t>PRD-0051</t>
  </si>
  <si>
    <t>Office Chair Ergo V3</t>
  </si>
  <si>
    <t>PRD-0052</t>
  </si>
  <si>
    <t>Executive Chair V3</t>
  </si>
  <si>
    <t>PRD-0053</t>
  </si>
  <si>
    <t>Standing Desk V3</t>
  </si>
  <si>
    <t>PRD-0054</t>
  </si>
  <si>
    <t>Work Desk Compact V3</t>
  </si>
  <si>
    <t>PRD-0055</t>
  </si>
  <si>
    <t>Filing Cabinet V3</t>
  </si>
  <si>
    <t>PRD-0056</t>
  </si>
  <si>
    <t>Laser Printer V3</t>
  </si>
  <si>
    <t>PRD-0057</t>
  </si>
  <si>
    <t>Ink Tank Printer V3</t>
  </si>
  <si>
    <t>PRD-0058</t>
  </si>
  <si>
    <t>UPS 1KVA V3</t>
  </si>
  <si>
    <t>PRD-0059</t>
  </si>
  <si>
    <t>Wi-Fi Router AX3000 V3</t>
  </si>
  <si>
    <t>PRD-0060</t>
  </si>
  <si>
    <t>Managed Switch 24-Port V3</t>
  </si>
  <si>
    <t>PRD-0061</t>
  </si>
  <si>
    <t>Wireless Mouse Pro V4</t>
  </si>
  <si>
    <t>PRD-0062</t>
  </si>
  <si>
    <t>Mechanical Keyboard V4</t>
  </si>
  <si>
    <t>PRD-0063</t>
  </si>
  <si>
    <t>Business Laptop 14 V4</t>
  </si>
  <si>
    <t>PRD-0064</t>
  </si>
  <si>
    <t>Ultrabook 13 V4</t>
  </si>
  <si>
    <t>PRD-0065</t>
  </si>
  <si>
    <t>27-inch Monitor V4</t>
  </si>
  <si>
    <t>PRD-0066</t>
  </si>
  <si>
    <t>24-inch Monitor V4</t>
  </si>
  <si>
    <t>PRD-0067</t>
  </si>
  <si>
    <t>USB-C Dock V4</t>
  </si>
  <si>
    <t>PRD-0068</t>
  </si>
  <si>
    <t>Noise Cancelling Headphones V4</t>
  </si>
  <si>
    <t>PRD-0069</t>
  </si>
  <si>
    <t>Webcam HD V4</t>
  </si>
  <si>
    <t>PRD-0070</t>
  </si>
  <si>
    <t>External SSD 1TB V4</t>
  </si>
  <si>
    <t>PRD-0071</t>
  </si>
  <si>
    <t>Office Chair Ergo V4</t>
  </si>
  <si>
    <t>PRD-0072</t>
  </si>
  <si>
    <t>Executive Chair V4</t>
  </si>
  <si>
    <t>PRD-0073</t>
  </si>
  <si>
    <t>Standing Desk V4</t>
  </si>
  <si>
    <t>PRD-0074</t>
  </si>
  <si>
    <t>Work Desk Compact V4</t>
  </si>
  <si>
    <t>PRD-0075</t>
  </si>
  <si>
    <t>Filing Cabinet V4</t>
  </si>
  <si>
    <t>PRD-0076</t>
  </si>
  <si>
    <t>Laser Printer V4</t>
  </si>
  <si>
    <t>PRD-0077</t>
  </si>
  <si>
    <t>Ink Tank Printer V4</t>
  </si>
  <si>
    <t>PRD-0078</t>
  </si>
  <si>
    <t>UPS 1KVA V4</t>
  </si>
  <si>
    <t>PRD-0079</t>
  </si>
  <si>
    <t>Wi-Fi Router AX3000 V4</t>
  </si>
  <si>
    <t>PRD-0080</t>
  </si>
  <si>
    <t>Managed Switch 24-Port V4</t>
  </si>
  <si>
    <t>Average of cost price</t>
  </si>
  <si>
    <t>Highlight the cells which are below average value</t>
  </si>
  <si>
    <t>1. Keep the colors consistent</t>
  </si>
  <si>
    <t>2. Use Green for Good and Red for a bad data(worst)/bad performance</t>
  </si>
  <si>
    <t>Industrial Rules</t>
  </si>
  <si>
    <t>3. Use yellow color for warning</t>
  </si>
  <si>
    <t>4. Use Formula based rules whenever business logic becomes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</si>
</sst>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8" fontId="0" fillId="0" borderId="0" xfId="0" applyNumberFormat="1"/>
    <xf numFmtId="0" fontId="2" fillId="0" borderId="0" xfId="0" applyFont="1"/>
  </cellXfs>
  <cellStyles count="1">
    <cellStyle name="Normal" xfId="0" builtinId="0"/>
  </cellStyles>
  <dxfs count="33">
    <dxf>
      <fill>
        <patternFill>
          <bgColor theme="7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theme="7" tint="-0.24994659260841701"/>
      </font>
    </dxf>
    <dxf>
      <fill>
        <patternFill>
          <bgColor rgb="FF00B050"/>
        </patternFill>
      </fill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00206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-0.499984740745262"/>
        </patternFill>
      </fill>
    </dxf>
    <dxf>
      <fill>
        <patternFill>
          <bgColor rgb="FF00B050"/>
        </patternFill>
      </fill>
    </dxf>
    <dxf>
      <font>
        <b/>
        <i val="0"/>
        <color theme="3" tint="-0.499984740745262"/>
      </font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F1" zoomScale="205" zoomScaleNormal="205" workbookViewId="0">
      <selection activeCell="N4" sqref="N4"/>
    </sheetView>
  </sheetViews>
  <sheetFormatPr defaultRowHeight="14.25" x14ac:dyDescent="0.45"/>
  <cols>
    <col min="1" max="1" width="10.86328125" bestFit="1" customWidth="1"/>
    <col min="2" max="2" width="12.06640625" customWidth="1"/>
    <col min="3" max="3" width="6.46484375" bestFit="1" customWidth="1"/>
    <col min="4" max="4" width="10.53125" bestFit="1" customWidth="1"/>
    <col min="5" max="5" width="15.1328125" bestFit="1" customWidth="1"/>
    <col min="6" max="6" width="10.19921875" bestFit="1" customWidth="1"/>
    <col min="7" max="7" width="9" bestFit="1" customWidth="1"/>
    <col min="8" max="8" width="8.73046875" bestFit="1" customWidth="1"/>
    <col min="9" max="9" width="7.9296875" bestFit="1" customWidth="1"/>
    <col min="10" max="10" width="7.19921875" bestFit="1" customWidth="1"/>
    <col min="11" max="11" width="9.46484375" bestFit="1" customWidth="1"/>
    <col min="12" max="12" width="14.3320312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45">
      <c r="A2" t="s">
        <v>12</v>
      </c>
      <c r="B2" s="2">
        <v>46024</v>
      </c>
      <c r="C2" t="s">
        <v>13</v>
      </c>
      <c r="D2" t="s">
        <v>14</v>
      </c>
      <c r="E2" t="s">
        <v>15</v>
      </c>
      <c r="F2" t="s">
        <v>16</v>
      </c>
      <c r="G2">
        <v>7</v>
      </c>
      <c r="H2">
        <v>62000</v>
      </c>
      <c r="I2">
        <v>434000</v>
      </c>
      <c r="J2">
        <v>8</v>
      </c>
      <c r="K2" t="s">
        <v>17</v>
      </c>
      <c r="L2">
        <v>2.8</v>
      </c>
      <c r="M2" t="str" cm="1">
        <f t="array" ref="M2">IFERROR(_xlfn.IFS(AND(I2&lt;10000,K2="Cancelled"),"Kam Nuksan",AND(I2&gt;10000,K2="Cancelled"),"Jyada Nuksan"),"Fayda")</f>
        <v>Fayda</v>
      </c>
    </row>
    <row r="3" spans="1:15" x14ac:dyDescent="0.45">
      <c r="A3" t="s">
        <v>18</v>
      </c>
      <c r="B3" s="2">
        <v>46025</v>
      </c>
      <c r="C3" t="s">
        <v>19</v>
      </c>
      <c r="D3" t="s">
        <v>20</v>
      </c>
      <c r="E3" t="s">
        <v>15</v>
      </c>
      <c r="F3" t="s">
        <v>21</v>
      </c>
      <c r="G3">
        <v>10</v>
      </c>
      <c r="H3">
        <v>14000</v>
      </c>
      <c r="I3">
        <v>140000</v>
      </c>
      <c r="J3">
        <v>12</v>
      </c>
      <c r="K3" t="s">
        <v>22</v>
      </c>
      <c r="L3">
        <v>3.4</v>
      </c>
      <c r="M3" t="str" cm="1">
        <f t="array" ref="M3">IFERROR(_xlfn.IFS(AND(I3&lt;10000,K3="Cancelled"),"Kam Nuksan",AND(I3&gt;10000,K3="Cancelled"),"Jyada Nuksan"),"Fayda")</f>
        <v>Fayda</v>
      </c>
    </row>
    <row r="4" spans="1:15" x14ac:dyDescent="0.45">
      <c r="A4" t="s">
        <v>23</v>
      </c>
      <c r="B4" s="2">
        <v>46026</v>
      </c>
      <c r="C4" t="s">
        <v>24</v>
      </c>
      <c r="D4" t="s">
        <v>25</v>
      </c>
      <c r="E4" t="s">
        <v>26</v>
      </c>
      <c r="F4" t="s">
        <v>27</v>
      </c>
      <c r="G4">
        <v>3</v>
      </c>
      <c r="H4">
        <v>8500</v>
      </c>
      <c r="I4">
        <v>25500</v>
      </c>
      <c r="J4">
        <v>18</v>
      </c>
      <c r="K4" t="s">
        <v>28</v>
      </c>
      <c r="L4">
        <v>3.9</v>
      </c>
      <c r="M4" t="str" cm="1">
        <f t="array" ref="M4">IFERROR(_xlfn.IFS(AND(I4&lt;10000,K4="Cancelled"),"Kam Nuksan",AND(I4&gt;10000,K4="Cancelled"),"Jyada Nuksan"),"Fayda")</f>
        <v>Jyada Nuksan</v>
      </c>
    </row>
    <row r="5" spans="1:15" x14ac:dyDescent="0.45">
      <c r="A5" t="s">
        <v>29</v>
      </c>
      <c r="B5" s="2">
        <v>46027</v>
      </c>
      <c r="C5" t="s">
        <v>30</v>
      </c>
      <c r="D5" t="s">
        <v>31</v>
      </c>
      <c r="E5" t="s">
        <v>32</v>
      </c>
      <c r="F5" t="s">
        <v>33</v>
      </c>
      <c r="G5">
        <v>6</v>
      </c>
      <c r="H5">
        <v>1200</v>
      </c>
      <c r="I5">
        <v>7200</v>
      </c>
      <c r="J5">
        <v>22</v>
      </c>
      <c r="K5" t="s">
        <v>17</v>
      </c>
      <c r="L5">
        <v>4.2</v>
      </c>
      <c r="M5" t="str" cm="1">
        <f t="array" ref="M5">IFERROR(_xlfn.IFS(AND(I5&lt;10000,K5="Cancelled"),"Kam Nuksan",AND(I5&gt;10000,K5="Cancelled"),"Jyada Nuksan"),"Fayda")</f>
        <v>Fayda</v>
      </c>
    </row>
    <row r="6" spans="1:15" x14ac:dyDescent="0.45">
      <c r="A6" t="s">
        <v>34</v>
      </c>
      <c r="B6" s="2">
        <v>46028</v>
      </c>
      <c r="C6" t="s">
        <v>13</v>
      </c>
      <c r="D6" t="s">
        <v>35</v>
      </c>
      <c r="E6" t="s">
        <v>32</v>
      </c>
      <c r="F6" t="s">
        <v>36</v>
      </c>
      <c r="G6">
        <v>9</v>
      </c>
      <c r="H6">
        <v>900</v>
      </c>
      <c r="I6">
        <v>8100</v>
      </c>
      <c r="J6">
        <v>28</v>
      </c>
      <c r="K6" t="s">
        <v>22</v>
      </c>
      <c r="L6">
        <v>4.5999999999999996</v>
      </c>
      <c r="M6" t="str" cm="1">
        <f t="array" ref="M6">IFERROR(_xlfn.IFS(AND(I6&lt;10000,K6="Cancelled"),"Kam Nuksan",AND(I6&gt;10000,K6="Cancelled"),"Jyada Nuksan"),"Fayda")</f>
        <v>Fayda</v>
      </c>
      <c r="O6" t="s">
        <v>12</v>
      </c>
    </row>
    <row r="7" spans="1:15" x14ac:dyDescent="0.45">
      <c r="A7" t="s">
        <v>37</v>
      </c>
      <c r="B7" s="2">
        <v>46029</v>
      </c>
      <c r="C7" t="s">
        <v>19</v>
      </c>
      <c r="D7" t="s">
        <v>38</v>
      </c>
      <c r="E7" t="s">
        <v>39</v>
      </c>
      <c r="F7" t="s">
        <v>40</v>
      </c>
      <c r="G7">
        <v>2</v>
      </c>
      <c r="H7">
        <v>3200</v>
      </c>
      <c r="I7">
        <v>6400</v>
      </c>
      <c r="J7">
        <v>35</v>
      </c>
      <c r="K7" t="s">
        <v>28</v>
      </c>
      <c r="L7">
        <v>4.9000000000000004</v>
      </c>
      <c r="M7" t="str" cm="1">
        <f t="array" ref="M7">IFERROR(_xlfn.IFS(AND(I7&lt;10000,K7="Cancelled"),"Kam Nuksan",AND(I7&gt;10000,K7="Cancelled"),"Jyada Nuksan"),"Fayda")</f>
        <v>Kam Nuksan</v>
      </c>
      <c r="O7" t="s">
        <v>18</v>
      </c>
    </row>
    <row r="8" spans="1:15" x14ac:dyDescent="0.45">
      <c r="A8" t="s">
        <v>41</v>
      </c>
      <c r="B8" s="2">
        <v>46030</v>
      </c>
      <c r="C8" t="s">
        <v>24</v>
      </c>
      <c r="D8" t="s">
        <v>14</v>
      </c>
      <c r="E8" t="s">
        <v>15</v>
      </c>
      <c r="F8" t="s">
        <v>16</v>
      </c>
      <c r="G8">
        <v>5</v>
      </c>
      <c r="H8">
        <v>62000</v>
      </c>
      <c r="I8">
        <v>310000</v>
      </c>
      <c r="J8">
        <v>8</v>
      </c>
      <c r="K8" t="s">
        <v>17</v>
      </c>
      <c r="L8">
        <v>2.8</v>
      </c>
      <c r="M8" t="str" cm="1">
        <f t="array" ref="M8">IFERROR(_xlfn.IFS(AND(I8&lt;10000,K8="Cancelled"),"Kam Nuksan",AND(I8&gt;10000,K8="Cancelled"),"Jyada Nuksan"),"Fayda")</f>
        <v>Fayda</v>
      </c>
      <c r="O8" t="s">
        <v>23</v>
      </c>
    </row>
    <row r="9" spans="1:15" x14ac:dyDescent="0.45">
      <c r="A9" t="s">
        <v>42</v>
      </c>
      <c r="B9" s="2">
        <v>46031</v>
      </c>
      <c r="C9" t="s">
        <v>30</v>
      </c>
      <c r="D9" t="s">
        <v>20</v>
      </c>
      <c r="E9" t="s">
        <v>15</v>
      </c>
      <c r="F9" t="s">
        <v>21</v>
      </c>
      <c r="G9">
        <v>8</v>
      </c>
      <c r="H9">
        <v>14000</v>
      </c>
      <c r="I9">
        <v>112000</v>
      </c>
      <c r="J9">
        <v>12</v>
      </c>
      <c r="K9" t="s">
        <v>22</v>
      </c>
      <c r="L9">
        <v>3.4</v>
      </c>
      <c r="M9" t="str" cm="1">
        <f t="array" ref="M9">IFERROR(_xlfn.IFS(AND(I9&lt;10000,K9="Cancelled"),"Kam Nuksan",AND(I9&gt;10000,K9="Cancelled"),"Jyada Nuksan"),"Fayda")</f>
        <v>Fayda</v>
      </c>
      <c r="O9" t="s">
        <v>23</v>
      </c>
    </row>
    <row r="10" spans="1:15" x14ac:dyDescent="0.45">
      <c r="A10" t="s">
        <v>43</v>
      </c>
      <c r="B10" s="2">
        <v>46032</v>
      </c>
      <c r="C10" t="s">
        <v>13</v>
      </c>
      <c r="D10" t="s">
        <v>25</v>
      </c>
      <c r="E10" t="s">
        <v>26</v>
      </c>
      <c r="F10" t="s">
        <v>27</v>
      </c>
      <c r="G10">
        <v>1</v>
      </c>
      <c r="H10">
        <v>8500</v>
      </c>
      <c r="I10">
        <v>8500</v>
      </c>
      <c r="J10">
        <v>18</v>
      </c>
      <c r="K10" t="s">
        <v>28</v>
      </c>
      <c r="L10">
        <v>3.9</v>
      </c>
      <c r="M10" t="str" cm="1">
        <f t="array" ref="M10">IFERROR(_xlfn.IFS(AND(I10&lt;10000,K10="Cancelled"),"Kam Nuksan",AND(I10&gt;10000,K10="Cancelled"),"Jyada Nuksan"),"Fayda")</f>
        <v>Kam Nuksan</v>
      </c>
      <c r="O10" t="s">
        <v>34</v>
      </c>
    </row>
    <row r="11" spans="1:15" x14ac:dyDescent="0.45">
      <c r="A11" t="s">
        <v>44</v>
      </c>
      <c r="B11" s="2">
        <v>46033</v>
      </c>
      <c r="C11" t="s">
        <v>19</v>
      </c>
      <c r="D11" t="s">
        <v>31</v>
      </c>
      <c r="E11" t="s">
        <v>32</v>
      </c>
      <c r="F11" t="s">
        <v>33</v>
      </c>
      <c r="G11">
        <v>4</v>
      </c>
      <c r="H11">
        <v>1200</v>
      </c>
      <c r="I11">
        <v>4800</v>
      </c>
      <c r="J11">
        <v>22</v>
      </c>
      <c r="K11" t="s">
        <v>17</v>
      </c>
      <c r="L11">
        <v>4.2</v>
      </c>
      <c r="M11" t="str" cm="1">
        <f t="array" ref="M11">IFERROR(_xlfn.IFS(AND(I11&lt;10000,K11="Cancelled"),"Kam Nuksan",AND(I11&gt;10000,K11="Cancelled"),"Jyada Nuksan"),"Fayda")</f>
        <v>Fayda</v>
      </c>
      <c r="O11" t="s">
        <v>37</v>
      </c>
    </row>
    <row r="12" spans="1:15" x14ac:dyDescent="0.45">
      <c r="A12" t="s">
        <v>45</v>
      </c>
      <c r="B12" s="2">
        <v>46034</v>
      </c>
      <c r="C12" t="s">
        <v>24</v>
      </c>
      <c r="D12" t="s">
        <v>35</v>
      </c>
      <c r="E12" t="s">
        <v>32</v>
      </c>
      <c r="F12" t="s">
        <v>36</v>
      </c>
      <c r="G12">
        <v>7</v>
      </c>
      <c r="H12">
        <v>900</v>
      </c>
      <c r="I12">
        <v>6300</v>
      </c>
      <c r="J12">
        <v>28</v>
      </c>
      <c r="K12" t="s">
        <v>22</v>
      </c>
      <c r="L12">
        <v>4.5999999999999996</v>
      </c>
      <c r="M12" t="str" cm="1">
        <f t="array" ref="M12">IFERROR(_xlfn.IFS(AND(I12&lt;10000,K12="Cancelled"),"Kam Nuksan",AND(I12&gt;10000,K12="Cancelled"),"Jyada Nuksan"),"Fayda")</f>
        <v>Fayda</v>
      </c>
      <c r="O12" t="s">
        <v>12</v>
      </c>
    </row>
    <row r="13" spans="1:15" x14ac:dyDescent="0.45">
      <c r="A13" t="s">
        <v>46</v>
      </c>
      <c r="B13" s="2">
        <v>46035</v>
      </c>
      <c r="C13" t="s">
        <v>30</v>
      </c>
      <c r="D13" t="s">
        <v>38</v>
      </c>
      <c r="E13" t="s">
        <v>39</v>
      </c>
      <c r="F13" t="s">
        <v>40</v>
      </c>
      <c r="G13">
        <v>10</v>
      </c>
      <c r="H13">
        <v>3200</v>
      </c>
      <c r="I13">
        <v>32000</v>
      </c>
      <c r="J13">
        <v>35</v>
      </c>
      <c r="K13" t="s">
        <v>28</v>
      </c>
      <c r="L13">
        <v>4.9000000000000004</v>
      </c>
      <c r="M13" t="str" cm="1">
        <f t="array" ref="M13">IFERROR(_xlfn.IFS(AND(I13&lt;10000,K13="Cancelled"),"Kam Nuksan",AND(I13&gt;10000,K13="Cancelled"),"Jyada Nuksan"),"Fayda")</f>
        <v>Jyada Nuksan</v>
      </c>
      <c r="O13" t="s">
        <v>42</v>
      </c>
    </row>
    <row r="14" spans="1:15" x14ac:dyDescent="0.45">
      <c r="A14" t="s">
        <v>47</v>
      </c>
      <c r="B14" s="2">
        <v>46036</v>
      </c>
      <c r="C14" t="s">
        <v>13</v>
      </c>
      <c r="D14" t="s">
        <v>14</v>
      </c>
      <c r="E14" t="s">
        <v>15</v>
      </c>
      <c r="F14" t="s">
        <v>16</v>
      </c>
      <c r="G14">
        <v>3</v>
      </c>
      <c r="H14">
        <v>62000</v>
      </c>
      <c r="I14">
        <v>186000</v>
      </c>
      <c r="J14">
        <v>8</v>
      </c>
      <c r="K14" t="s">
        <v>17</v>
      </c>
      <c r="L14">
        <v>2.8</v>
      </c>
      <c r="M14" t="str" cm="1">
        <f t="array" ref="M14">IFERROR(_xlfn.IFS(AND(I14&lt;10000,K14="Cancelled"),"Kam Nuksan",AND(I14&gt;10000,K14="Cancelled"),"Jyada Nuksan"),"Fayda")</f>
        <v>Fayda</v>
      </c>
      <c r="O14" t="s">
        <v>43</v>
      </c>
    </row>
    <row r="15" spans="1:15" x14ac:dyDescent="0.45">
      <c r="A15" t="s">
        <v>48</v>
      </c>
      <c r="B15" s="2">
        <v>46037</v>
      </c>
      <c r="C15" t="s">
        <v>19</v>
      </c>
      <c r="D15" t="s">
        <v>20</v>
      </c>
      <c r="E15" t="s">
        <v>15</v>
      </c>
      <c r="F15" t="s">
        <v>21</v>
      </c>
      <c r="G15">
        <v>6</v>
      </c>
      <c r="H15">
        <v>14000</v>
      </c>
      <c r="I15">
        <v>84000</v>
      </c>
      <c r="J15">
        <v>12</v>
      </c>
      <c r="K15" t="s">
        <v>22</v>
      </c>
      <c r="L15">
        <v>3.4</v>
      </c>
      <c r="M15" t="str" cm="1">
        <f t="array" ref="M15">IFERROR(_xlfn.IFS(AND(I15&lt;10000,K15="Cancelled"),"Kam Nuksan",AND(I15&gt;10000,K15="Cancelled"),"Jyada Nuksan"),"Fayda")</f>
        <v>Fayda</v>
      </c>
      <c r="O15" t="s">
        <v>47</v>
      </c>
    </row>
    <row r="16" spans="1:15" x14ac:dyDescent="0.45">
      <c r="A16" t="s">
        <v>49</v>
      </c>
      <c r="B16" s="2">
        <v>46038</v>
      </c>
      <c r="C16" t="s">
        <v>24</v>
      </c>
      <c r="D16" t="s">
        <v>25</v>
      </c>
      <c r="E16" t="s">
        <v>26</v>
      </c>
      <c r="F16" t="s">
        <v>27</v>
      </c>
      <c r="G16">
        <v>9</v>
      </c>
      <c r="H16">
        <v>8500</v>
      </c>
      <c r="I16">
        <v>76500</v>
      </c>
      <c r="J16">
        <v>18</v>
      </c>
      <c r="K16" t="s">
        <v>28</v>
      </c>
      <c r="L16">
        <v>3.9</v>
      </c>
      <c r="M16" t="str" cm="1">
        <f t="array" ref="M16">IFERROR(_xlfn.IFS(AND(I16&lt;10000,K16="Cancelled"),"Kam Nuksan",AND(I16&gt;10000,K16="Cancelled"),"Jyada Nuksan"),"Fayda")</f>
        <v>Jyada Nuksan</v>
      </c>
      <c r="O16" t="s">
        <v>45</v>
      </c>
    </row>
    <row r="17" spans="1:15" x14ac:dyDescent="0.45">
      <c r="A17" t="s">
        <v>50</v>
      </c>
      <c r="B17" s="2">
        <v>46039</v>
      </c>
      <c r="C17" t="s">
        <v>30</v>
      </c>
      <c r="D17" t="s">
        <v>31</v>
      </c>
      <c r="E17" t="s">
        <v>32</v>
      </c>
      <c r="F17" t="s">
        <v>33</v>
      </c>
      <c r="G17">
        <v>2</v>
      </c>
      <c r="H17">
        <v>1200</v>
      </c>
      <c r="I17">
        <v>2400</v>
      </c>
      <c r="J17">
        <v>22</v>
      </c>
      <c r="K17" t="s">
        <v>17</v>
      </c>
      <c r="L17">
        <v>4.2</v>
      </c>
      <c r="M17" t="str" cm="1">
        <f t="array" ref="M17">IFERROR(_xlfn.IFS(AND(I17&lt;10000,K17="Cancelled"),"Kam Nuksan",AND(I17&gt;10000,K17="Cancelled"),"Jyada Nuksan"),"Fayda")</f>
        <v>Fayda</v>
      </c>
      <c r="O17" t="s">
        <v>46</v>
      </c>
    </row>
    <row r="18" spans="1:15" x14ac:dyDescent="0.45">
      <c r="A18" t="s">
        <v>51</v>
      </c>
      <c r="B18" s="2">
        <v>46040</v>
      </c>
      <c r="C18" t="s">
        <v>13</v>
      </c>
      <c r="D18" t="s">
        <v>35</v>
      </c>
      <c r="E18" t="s">
        <v>32</v>
      </c>
      <c r="F18" t="s">
        <v>36</v>
      </c>
      <c r="G18">
        <v>5</v>
      </c>
      <c r="H18">
        <v>900</v>
      </c>
      <c r="I18">
        <v>4500</v>
      </c>
      <c r="J18">
        <v>28</v>
      </c>
      <c r="K18" t="s">
        <v>22</v>
      </c>
      <c r="L18">
        <v>4.5999999999999996</v>
      </c>
      <c r="M18" t="str" cm="1">
        <f t="array" ref="M18">IFERROR(_xlfn.IFS(AND(I18&lt;10000,K18="Cancelled"),"Kam Nuksan",AND(I18&gt;10000,K18="Cancelled"),"Jyada Nuksan"),"Fayda")</f>
        <v>Fayda</v>
      </c>
      <c r="O18" t="s">
        <v>47</v>
      </c>
    </row>
    <row r="19" spans="1:15" x14ac:dyDescent="0.45">
      <c r="A19" t="s">
        <v>52</v>
      </c>
      <c r="B19" s="2">
        <v>46041</v>
      </c>
      <c r="C19" t="s">
        <v>19</v>
      </c>
      <c r="D19" t="s">
        <v>38</v>
      </c>
      <c r="E19" t="s">
        <v>39</v>
      </c>
      <c r="F19" t="s">
        <v>40</v>
      </c>
      <c r="G19">
        <v>8</v>
      </c>
      <c r="H19">
        <v>3200</v>
      </c>
      <c r="I19">
        <v>25600</v>
      </c>
      <c r="J19">
        <v>35</v>
      </c>
      <c r="K19" t="s">
        <v>28</v>
      </c>
      <c r="L19">
        <v>4.9000000000000004</v>
      </c>
      <c r="M19" t="str" cm="1">
        <f t="array" ref="M19">IFERROR(_xlfn.IFS(AND(I19&lt;10000,K19="Cancelled"),"Kam Nuksan",AND(I19&gt;10000,K19="Cancelled"),"Jyada Nuksan"),"Fayda")</f>
        <v>Jyada Nuksan</v>
      </c>
      <c r="O19" t="s">
        <v>48</v>
      </c>
    </row>
    <row r="20" spans="1:15" x14ac:dyDescent="0.45">
      <c r="A20" t="s">
        <v>53</v>
      </c>
      <c r="B20" s="2">
        <v>46042</v>
      </c>
      <c r="C20" t="s">
        <v>24</v>
      </c>
      <c r="D20" t="s">
        <v>14</v>
      </c>
      <c r="E20" t="s">
        <v>15</v>
      </c>
      <c r="F20" t="s">
        <v>16</v>
      </c>
      <c r="G20">
        <v>1</v>
      </c>
      <c r="H20">
        <v>62000</v>
      </c>
      <c r="I20">
        <v>62000</v>
      </c>
      <c r="J20">
        <v>8</v>
      </c>
      <c r="K20" t="s">
        <v>17</v>
      </c>
      <c r="L20">
        <v>2.8</v>
      </c>
      <c r="M20" t="str" cm="1">
        <f t="array" ref="M20">IFERROR(_xlfn.IFS(AND(I20&lt;10000,K20="Cancelled"),"Kam Nuksan",AND(I20&gt;10000,K20="Cancelled"),"Jyada Nuksan"),"Fayda")</f>
        <v>Fayda</v>
      </c>
    </row>
    <row r="21" spans="1:15" x14ac:dyDescent="0.45">
      <c r="A21" t="s">
        <v>54</v>
      </c>
      <c r="B21" s="2">
        <v>46043</v>
      </c>
      <c r="C21" t="s">
        <v>30</v>
      </c>
      <c r="D21" t="s">
        <v>20</v>
      </c>
      <c r="E21" t="s">
        <v>15</v>
      </c>
      <c r="F21" t="s">
        <v>21</v>
      </c>
      <c r="G21">
        <v>4</v>
      </c>
      <c r="H21">
        <v>14000</v>
      </c>
      <c r="I21">
        <v>56000</v>
      </c>
      <c r="J21">
        <v>12</v>
      </c>
      <c r="K21" t="s">
        <v>22</v>
      </c>
      <c r="L21">
        <v>3.4</v>
      </c>
      <c r="M21" t="str" cm="1">
        <f t="array" ref="M21">IFERROR(_xlfn.IFS(AND(I21&lt;10000,K21="Cancelled"),"Kam Nuksan",AND(I21&gt;10000,K21="Cancelled"),"Jyada Nuksan"),"Fayda")</f>
        <v>Fayda</v>
      </c>
      <c r="N21" cm="1">
        <f t="array" ref="N21:N50">_xlfn.SEQUENCE(30,1,5,5)</f>
        <v>5</v>
      </c>
    </row>
    <row r="22" spans="1:15" x14ac:dyDescent="0.45">
      <c r="A22" t="s">
        <v>55</v>
      </c>
      <c r="B22" s="2">
        <v>46044</v>
      </c>
      <c r="C22" t="s">
        <v>13</v>
      </c>
      <c r="D22" t="s">
        <v>25</v>
      </c>
      <c r="E22" t="s">
        <v>26</v>
      </c>
      <c r="F22" t="s">
        <v>27</v>
      </c>
      <c r="G22">
        <v>7</v>
      </c>
      <c r="H22">
        <v>8500</v>
      </c>
      <c r="I22">
        <v>59500</v>
      </c>
      <c r="J22">
        <v>18</v>
      </c>
      <c r="K22" t="s">
        <v>28</v>
      </c>
      <c r="L22">
        <v>3.9</v>
      </c>
      <c r="M22" t="str" cm="1">
        <f t="array" ref="M22">IFERROR(_xlfn.IFS(AND(I22&lt;10000,K22="Cancelled"),"Kam Nuksan",AND(I22&gt;10000,K22="Cancelled"),"Jyada Nuksan"),"Fayda")</f>
        <v>Jyada Nuksan</v>
      </c>
      <c r="N22">
        <v>10</v>
      </c>
    </row>
    <row r="23" spans="1:15" x14ac:dyDescent="0.45">
      <c r="A23" t="s">
        <v>56</v>
      </c>
      <c r="B23" s="2">
        <v>46045</v>
      </c>
      <c r="C23" t="s">
        <v>19</v>
      </c>
      <c r="D23" t="s">
        <v>31</v>
      </c>
      <c r="E23" t="s">
        <v>32</v>
      </c>
      <c r="F23" t="s">
        <v>33</v>
      </c>
      <c r="G23">
        <v>10</v>
      </c>
      <c r="H23">
        <v>1200</v>
      </c>
      <c r="I23">
        <v>12000</v>
      </c>
      <c r="J23">
        <v>22</v>
      </c>
      <c r="K23" t="s">
        <v>17</v>
      </c>
      <c r="L23">
        <v>4.2</v>
      </c>
      <c r="M23" t="str" cm="1">
        <f t="array" ref="M23">IFERROR(_xlfn.IFS(AND(I23&lt;10000,K23="Cancelled"),"Kam Nuksan",AND(I23&gt;10000,K23="Cancelled"),"Jyada Nuksan"),"Fayda")</f>
        <v>Fayda</v>
      </c>
      <c r="N23">
        <v>15</v>
      </c>
      <c r="O23">
        <f>30/100*10</f>
        <v>3</v>
      </c>
    </row>
    <row r="24" spans="1:15" x14ac:dyDescent="0.45">
      <c r="A24" t="s">
        <v>57</v>
      </c>
      <c r="B24" s="2">
        <v>46046</v>
      </c>
      <c r="C24" t="s">
        <v>24</v>
      </c>
      <c r="D24" t="s">
        <v>35</v>
      </c>
      <c r="E24" t="s">
        <v>32</v>
      </c>
      <c r="F24" t="s">
        <v>36</v>
      </c>
      <c r="G24">
        <v>3</v>
      </c>
      <c r="H24">
        <v>900</v>
      </c>
      <c r="I24">
        <v>2700</v>
      </c>
      <c r="J24">
        <v>28</v>
      </c>
      <c r="K24" t="s">
        <v>22</v>
      </c>
      <c r="L24">
        <v>4.5999999999999996</v>
      </c>
      <c r="M24" t="str" cm="1">
        <f t="array" ref="M24">IFERROR(_xlfn.IFS(AND(I24&lt;10000,K24="Cancelled"),"Kam Nuksan",AND(I24&gt;10000,K24="Cancelled"),"Jyada Nuksan"),"Fayda")</f>
        <v>Fayda</v>
      </c>
      <c r="N24">
        <v>20</v>
      </c>
      <c r="O24" t="s">
        <v>141</v>
      </c>
    </row>
    <row r="25" spans="1:15" x14ac:dyDescent="0.45">
      <c r="A25" t="s">
        <v>58</v>
      </c>
      <c r="B25" s="2">
        <v>46047</v>
      </c>
      <c r="C25" t="s">
        <v>30</v>
      </c>
      <c r="D25" t="s">
        <v>38</v>
      </c>
      <c r="E25" t="s">
        <v>39</v>
      </c>
      <c r="F25" t="s">
        <v>40</v>
      </c>
      <c r="G25">
        <v>6</v>
      </c>
      <c r="H25">
        <v>3200</v>
      </c>
      <c r="I25">
        <v>19200</v>
      </c>
      <c r="J25">
        <v>35</v>
      </c>
      <c r="K25" t="s">
        <v>28</v>
      </c>
      <c r="L25">
        <v>4.9000000000000004</v>
      </c>
      <c r="M25" t="str" cm="1">
        <f t="array" ref="M25">IFERROR(_xlfn.IFS(AND(I25&lt;10000,K25="Cancelled"),"Kam Nuksan",AND(I25&gt;10000,K25="Cancelled"),"Jyada Nuksan"),"Fayda")</f>
        <v>Jyada Nuksan</v>
      </c>
      <c r="N25">
        <v>25</v>
      </c>
    </row>
    <row r="26" spans="1:15" x14ac:dyDescent="0.45">
      <c r="A26" t="s">
        <v>59</v>
      </c>
      <c r="B26" s="2">
        <v>46048</v>
      </c>
      <c r="C26" t="s">
        <v>13</v>
      </c>
      <c r="D26" t="s">
        <v>14</v>
      </c>
      <c r="E26" t="s">
        <v>15</v>
      </c>
      <c r="F26" t="s">
        <v>16</v>
      </c>
      <c r="G26">
        <v>9</v>
      </c>
      <c r="H26">
        <v>62000</v>
      </c>
      <c r="I26">
        <v>558000</v>
      </c>
      <c r="J26">
        <v>8</v>
      </c>
      <c r="K26" t="s">
        <v>17</v>
      </c>
      <c r="L26">
        <v>2.8</v>
      </c>
      <c r="M26" t="str" cm="1">
        <f t="array" ref="M26">IFERROR(_xlfn.IFS(AND(I26&lt;10000,K26="Cancelled"),"Kam Nuksan",AND(I26&gt;10000,K26="Cancelled"),"Jyada Nuksan"),"Fayda")</f>
        <v>Fayda</v>
      </c>
      <c r="N26">
        <v>30</v>
      </c>
    </row>
    <row r="27" spans="1:15" x14ac:dyDescent="0.45">
      <c r="A27" t="s">
        <v>60</v>
      </c>
      <c r="B27" s="2">
        <v>46049</v>
      </c>
      <c r="C27" t="s">
        <v>19</v>
      </c>
      <c r="D27" t="s">
        <v>20</v>
      </c>
      <c r="E27" t="s">
        <v>15</v>
      </c>
      <c r="F27" t="s">
        <v>21</v>
      </c>
      <c r="G27">
        <v>2</v>
      </c>
      <c r="H27">
        <v>14000</v>
      </c>
      <c r="I27">
        <v>28000</v>
      </c>
      <c r="J27">
        <v>12</v>
      </c>
      <c r="K27" t="s">
        <v>22</v>
      </c>
      <c r="L27">
        <v>3.4</v>
      </c>
      <c r="M27" t="str" cm="1">
        <f t="array" ref="M27">IFERROR(_xlfn.IFS(AND(I27&lt;10000,K27="Cancelled"),"Kam Nuksan",AND(I27&gt;10000,K27="Cancelled"),"Jyada Nuksan"),"Fayda")</f>
        <v>Fayda</v>
      </c>
      <c r="N27">
        <v>35</v>
      </c>
    </row>
    <row r="28" spans="1:15" x14ac:dyDescent="0.45">
      <c r="A28" t="s">
        <v>61</v>
      </c>
      <c r="B28" s="2">
        <v>46050</v>
      </c>
      <c r="C28" t="s">
        <v>24</v>
      </c>
      <c r="D28" t="s">
        <v>25</v>
      </c>
      <c r="E28" t="s">
        <v>26</v>
      </c>
      <c r="F28" t="s">
        <v>27</v>
      </c>
      <c r="G28">
        <v>5</v>
      </c>
      <c r="H28">
        <v>8500</v>
      </c>
      <c r="I28">
        <v>42500</v>
      </c>
      <c r="J28">
        <v>18</v>
      </c>
      <c r="K28" t="s">
        <v>28</v>
      </c>
      <c r="L28">
        <v>3.9</v>
      </c>
      <c r="M28" t="str" cm="1">
        <f t="array" ref="M28">IFERROR(_xlfn.IFS(AND(I28&lt;10000,K28="Cancelled"),"Kam Nuksan",AND(I28&gt;10000,K28="Cancelled"),"Jyada Nuksan"),"Fayda")</f>
        <v>Jyada Nuksan</v>
      </c>
      <c r="N28">
        <v>40</v>
      </c>
    </row>
    <row r="29" spans="1:15" x14ac:dyDescent="0.45">
      <c r="A29" t="s">
        <v>62</v>
      </c>
      <c r="B29" s="2">
        <v>46051</v>
      </c>
      <c r="C29" t="s">
        <v>30</v>
      </c>
      <c r="D29" t="s">
        <v>31</v>
      </c>
      <c r="E29" t="s">
        <v>32</v>
      </c>
      <c r="F29" t="s">
        <v>33</v>
      </c>
      <c r="G29">
        <v>8</v>
      </c>
      <c r="H29">
        <v>1200</v>
      </c>
      <c r="I29">
        <v>9600</v>
      </c>
      <c r="J29">
        <v>22</v>
      </c>
      <c r="K29" t="s">
        <v>17</v>
      </c>
      <c r="L29">
        <v>4.2</v>
      </c>
      <c r="M29" t="str" cm="1">
        <f t="array" ref="M29">IFERROR(_xlfn.IFS(AND(I29&lt;10000,K29="Cancelled"),"Kam Nuksan",AND(I29&gt;10000,K29="Cancelled"),"Jyada Nuksan"),"Fayda")</f>
        <v>Fayda</v>
      </c>
      <c r="N29">
        <v>45</v>
      </c>
    </row>
    <row r="30" spans="1:15" x14ac:dyDescent="0.45">
      <c r="A30" t="s">
        <v>63</v>
      </c>
      <c r="B30" s="2">
        <v>46052</v>
      </c>
      <c r="C30" t="s">
        <v>13</v>
      </c>
      <c r="D30" t="s">
        <v>35</v>
      </c>
      <c r="E30" t="s">
        <v>32</v>
      </c>
      <c r="F30" t="s">
        <v>36</v>
      </c>
      <c r="G30">
        <v>1</v>
      </c>
      <c r="H30">
        <v>900</v>
      </c>
      <c r="I30">
        <v>900</v>
      </c>
      <c r="J30">
        <v>28</v>
      </c>
      <c r="K30" t="s">
        <v>22</v>
      </c>
      <c r="L30">
        <v>4.5999999999999996</v>
      </c>
      <c r="M30" t="str" cm="1">
        <f t="array" ref="M30">IFERROR(_xlfn.IFS(AND(I30&lt;10000,K30="Cancelled"),"Kam Nuksan",AND(I30&gt;10000,K30="Cancelled"),"Jyada Nuksan"),"Fayda")</f>
        <v>Fayda</v>
      </c>
      <c r="N30">
        <v>50</v>
      </c>
    </row>
    <row r="31" spans="1:15" x14ac:dyDescent="0.45">
      <c r="A31" t="s">
        <v>64</v>
      </c>
      <c r="B31" s="2">
        <v>46053</v>
      </c>
      <c r="C31" t="s">
        <v>19</v>
      </c>
      <c r="D31" t="s">
        <v>38</v>
      </c>
      <c r="E31" t="s">
        <v>39</v>
      </c>
      <c r="F31" t="s">
        <v>40</v>
      </c>
      <c r="G31">
        <v>4</v>
      </c>
      <c r="H31">
        <v>3200</v>
      </c>
      <c r="I31">
        <v>12800</v>
      </c>
      <c r="J31">
        <v>35</v>
      </c>
      <c r="K31" t="s">
        <v>28</v>
      </c>
      <c r="L31">
        <v>4.9000000000000004</v>
      </c>
      <c r="M31" t="str" cm="1">
        <f t="array" ref="M31">IFERROR(_xlfn.IFS(AND(I31&lt;10000,K31="Cancelled"),"Kam Nuksan",AND(I31&gt;10000,K31="Cancelled"),"Jyada Nuksan"),"Fayda")</f>
        <v>Jyada Nuksan</v>
      </c>
      <c r="N31">
        <v>55</v>
      </c>
    </row>
    <row r="32" spans="1:15" x14ac:dyDescent="0.45">
      <c r="A32" t="s">
        <v>65</v>
      </c>
      <c r="B32" s="2">
        <v>46054</v>
      </c>
      <c r="C32" t="s">
        <v>24</v>
      </c>
      <c r="D32" t="s">
        <v>14</v>
      </c>
      <c r="E32" t="s">
        <v>15</v>
      </c>
      <c r="F32" t="s">
        <v>16</v>
      </c>
      <c r="G32">
        <v>7</v>
      </c>
      <c r="H32">
        <v>62000</v>
      </c>
      <c r="I32">
        <v>434000</v>
      </c>
      <c r="J32">
        <v>8</v>
      </c>
      <c r="K32" t="s">
        <v>17</v>
      </c>
      <c r="L32">
        <v>2.8</v>
      </c>
      <c r="M32" t="str" cm="1">
        <f t="array" ref="M32">IFERROR(_xlfn.IFS(AND(I32&lt;10000,K32="Cancelled"),"Kam Nuksan",AND(I32&gt;10000,K32="Cancelled"),"Jyada Nuksan"),"Fayda")</f>
        <v>Fayda</v>
      </c>
      <c r="N32">
        <v>60</v>
      </c>
    </row>
    <row r="33" spans="1:14" x14ac:dyDescent="0.45">
      <c r="A33" t="s">
        <v>66</v>
      </c>
      <c r="B33" s="2">
        <v>46055</v>
      </c>
      <c r="C33" t="s">
        <v>30</v>
      </c>
      <c r="D33" t="s">
        <v>20</v>
      </c>
      <c r="E33" t="s">
        <v>15</v>
      </c>
      <c r="F33" t="s">
        <v>21</v>
      </c>
      <c r="G33">
        <v>10</v>
      </c>
      <c r="H33">
        <v>14000</v>
      </c>
      <c r="I33">
        <v>140000</v>
      </c>
      <c r="J33">
        <v>12</v>
      </c>
      <c r="K33" t="s">
        <v>22</v>
      </c>
      <c r="L33">
        <v>3.4</v>
      </c>
      <c r="M33" t="str" cm="1">
        <f t="array" ref="M33">IFERROR(_xlfn.IFS(AND(I33&lt;10000,K33="Cancelled"),"Kam Nuksan",AND(I33&gt;10000,K33="Cancelled"),"Jyada Nuksan"),"Fayda")</f>
        <v>Fayda</v>
      </c>
      <c r="N33">
        <v>65</v>
      </c>
    </row>
    <row r="34" spans="1:14" x14ac:dyDescent="0.45">
      <c r="A34" t="s">
        <v>67</v>
      </c>
      <c r="B34" s="2">
        <v>46056</v>
      </c>
      <c r="C34" t="s">
        <v>13</v>
      </c>
      <c r="D34" t="s">
        <v>25</v>
      </c>
      <c r="E34" t="s">
        <v>26</v>
      </c>
      <c r="F34" t="s">
        <v>27</v>
      </c>
      <c r="G34">
        <v>3</v>
      </c>
      <c r="H34">
        <v>8500</v>
      </c>
      <c r="I34">
        <v>25500</v>
      </c>
      <c r="J34">
        <v>18</v>
      </c>
      <c r="K34" t="s">
        <v>28</v>
      </c>
      <c r="L34">
        <v>3.9</v>
      </c>
      <c r="M34" t="str" cm="1">
        <f t="array" ref="M34">IFERROR(_xlfn.IFS(AND(I34&lt;10000,K34="Cancelled"),"Kam Nuksan",AND(I34&gt;10000,K34="Cancelled"),"Jyada Nuksan"),"Fayda")</f>
        <v>Jyada Nuksan</v>
      </c>
      <c r="N34">
        <v>70</v>
      </c>
    </row>
    <row r="35" spans="1:14" x14ac:dyDescent="0.45">
      <c r="A35" t="s">
        <v>68</v>
      </c>
      <c r="B35" s="2">
        <v>46057</v>
      </c>
      <c r="C35" t="s">
        <v>19</v>
      </c>
      <c r="D35" t="s">
        <v>31</v>
      </c>
      <c r="E35" t="s">
        <v>32</v>
      </c>
      <c r="F35" t="s">
        <v>33</v>
      </c>
      <c r="G35">
        <v>6</v>
      </c>
      <c r="H35">
        <v>1200</v>
      </c>
      <c r="I35">
        <v>7200</v>
      </c>
      <c r="J35">
        <v>22</v>
      </c>
      <c r="K35" t="s">
        <v>17</v>
      </c>
      <c r="L35">
        <v>4.2</v>
      </c>
      <c r="M35" t="str" cm="1">
        <f t="array" ref="M35">IFERROR(_xlfn.IFS(AND(I35&lt;10000,K35="Cancelled"),"Kam Nuksan",AND(I35&gt;10000,K35="Cancelled"),"Jyada Nuksan"),"Fayda")</f>
        <v>Fayda</v>
      </c>
      <c r="N35">
        <v>75</v>
      </c>
    </row>
    <row r="36" spans="1:14" x14ac:dyDescent="0.45">
      <c r="A36" t="s">
        <v>69</v>
      </c>
      <c r="B36" s="2">
        <v>46058</v>
      </c>
      <c r="C36" t="s">
        <v>24</v>
      </c>
      <c r="D36" t="s">
        <v>35</v>
      </c>
      <c r="E36" t="s">
        <v>32</v>
      </c>
      <c r="F36" t="s">
        <v>36</v>
      </c>
      <c r="G36">
        <v>9</v>
      </c>
      <c r="H36">
        <v>900</v>
      </c>
      <c r="I36">
        <v>8100</v>
      </c>
      <c r="J36">
        <v>28</v>
      </c>
      <c r="K36" t="s">
        <v>22</v>
      </c>
      <c r="L36">
        <v>4.5999999999999996</v>
      </c>
      <c r="M36" t="str" cm="1">
        <f t="array" ref="M36">IFERROR(_xlfn.IFS(AND(I36&lt;10000,K36="Cancelled"),"Kam Nuksan",AND(I36&gt;10000,K36="Cancelled"),"Jyada Nuksan"),"Fayda")</f>
        <v>Fayda</v>
      </c>
      <c r="N36">
        <v>80</v>
      </c>
    </row>
    <row r="37" spans="1:14" x14ac:dyDescent="0.45">
      <c r="A37" t="s">
        <v>70</v>
      </c>
      <c r="B37" s="2">
        <v>46059</v>
      </c>
      <c r="C37" t="s">
        <v>30</v>
      </c>
      <c r="D37" t="s">
        <v>38</v>
      </c>
      <c r="E37" t="s">
        <v>39</v>
      </c>
      <c r="F37" t="s">
        <v>40</v>
      </c>
      <c r="G37">
        <v>2</v>
      </c>
      <c r="H37">
        <v>3200</v>
      </c>
      <c r="I37">
        <v>6400</v>
      </c>
      <c r="J37">
        <v>35</v>
      </c>
      <c r="K37" t="s">
        <v>28</v>
      </c>
      <c r="L37">
        <v>4.9000000000000004</v>
      </c>
      <c r="M37" t="str" cm="1">
        <f t="array" ref="M37">IFERROR(_xlfn.IFS(AND(I37&lt;10000,K37="Cancelled"),"Kam Nuksan",AND(I37&gt;10000,K37="Cancelled"),"Jyada Nuksan"),"Fayda")</f>
        <v>Kam Nuksan</v>
      </c>
      <c r="N37">
        <v>85</v>
      </c>
    </row>
    <row r="38" spans="1:14" x14ac:dyDescent="0.45">
      <c r="A38" t="s">
        <v>71</v>
      </c>
      <c r="B38" s="2">
        <v>46060</v>
      </c>
      <c r="C38" t="s">
        <v>13</v>
      </c>
      <c r="D38" t="s">
        <v>14</v>
      </c>
      <c r="E38" t="s">
        <v>15</v>
      </c>
      <c r="F38" t="s">
        <v>16</v>
      </c>
      <c r="G38">
        <v>5</v>
      </c>
      <c r="H38">
        <v>62000</v>
      </c>
      <c r="I38">
        <v>310000</v>
      </c>
      <c r="J38">
        <v>8</v>
      </c>
      <c r="K38" t="s">
        <v>17</v>
      </c>
      <c r="L38">
        <v>2.8</v>
      </c>
      <c r="N38">
        <v>90</v>
      </c>
    </row>
    <row r="39" spans="1:14" x14ac:dyDescent="0.45">
      <c r="A39" t="s">
        <v>72</v>
      </c>
      <c r="B39" s="2">
        <v>46061</v>
      </c>
      <c r="C39" t="s">
        <v>19</v>
      </c>
      <c r="D39" t="s">
        <v>20</v>
      </c>
      <c r="E39" t="s">
        <v>15</v>
      </c>
      <c r="F39" t="s">
        <v>21</v>
      </c>
      <c r="G39">
        <v>8</v>
      </c>
      <c r="H39">
        <v>14000</v>
      </c>
      <c r="I39">
        <v>112000</v>
      </c>
      <c r="J39">
        <v>12</v>
      </c>
      <c r="K39" t="s">
        <v>22</v>
      </c>
      <c r="L39">
        <v>3.4</v>
      </c>
      <c r="N39">
        <v>95</v>
      </c>
    </row>
    <row r="40" spans="1:14" x14ac:dyDescent="0.45">
      <c r="A40" t="s">
        <v>73</v>
      </c>
      <c r="B40" s="2">
        <v>46062</v>
      </c>
      <c r="C40" t="s">
        <v>24</v>
      </c>
      <c r="D40" t="s">
        <v>25</v>
      </c>
      <c r="E40" t="s">
        <v>26</v>
      </c>
      <c r="F40" t="s">
        <v>27</v>
      </c>
      <c r="G40">
        <v>1</v>
      </c>
      <c r="H40">
        <v>8500</v>
      </c>
      <c r="I40">
        <v>8500</v>
      </c>
      <c r="J40">
        <v>18</v>
      </c>
      <c r="K40" t="s">
        <v>28</v>
      </c>
      <c r="L40">
        <v>3.9</v>
      </c>
      <c r="N40">
        <v>100</v>
      </c>
    </row>
    <row r="41" spans="1:14" x14ac:dyDescent="0.45">
      <c r="A41" t="s">
        <v>74</v>
      </c>
      <c r="B41" s="2">
        <v>46063</v>
      </c>
      <c r="C41" t="s">
        <v>30</v>
      </c>
      <c r="D41" t="s">
        <v>31</v>
      </c>
      <c r="E41" t="s">
        <v>32</v>
      </c>
      <c r="F41" t="s">
        <v>33</v>
      </c>
      <c r="G41">
        <v>4</v>
      </c>
      <c r="H41">
        <v>1200</v>
      </c>
      <c r="I41">
        <v>4800</v>
      </c>
      <c r="J41">
        <v>22</v>
      </c>
      <c r="K41" t="s">
        <v>17</v>
      </c>
      <c r="L41">
        <v>4.2</v>
      </c>
      <c r="N41">
        <v>105</v>
      </c>
    </row>
    <row r="42" spans="1:14" x14ac:dyDescent="0.45">
      <c r="A42" t="s">
        <v>75</v>
      </c>
      <c r="B42" s="2">
        <v>46064</v>
      </c>
      <c r="C42" t="s">
        <v>13</v>
      </c>
      <c r="D42" t="s">
        <v>35</v>
      </c>
      <c r="E42" t="s">
        <v>32</v>
      </c>
      <c r="F42" t="s">
        <v>36</v>
      </c>
      <c r="G42">
        <v>7</v>
      </c>
      <c r="H42">
        <v>900</v>
      </c>
      <c r="I42">
        <v>6300</v>
      </c>
      <c r="J42">
        <v>28</v>
      </c>
      <c r="K42" t="s">
        <v>22</v>
      </c>
      <c r="L42">
        <v>4.5999999999999996</v>
      </c>
      <c r="N42">
        <v>110</v>
      </c>
    </row>
    <row r="43" spans="1:14" x14ac:dyDescent="0.45">
      <c r="A43" t="s">
        <v>76</v>
      </c>
      <c r="B43" s="2">
        <v>46065</v>
      </c>
      <c r="C43" t="s">
        <v>19</v>
      </c>
      <c r="D43" t="s">
        <v>38</v>
      </c>
      <c r="E43" t="s">
        <v>39</v>
      </c>
      <c r="F43" t="s">
        <v>40</v>
      </c>
      <c r="G43">
        <v>10</v>
      </c>
      <c r="H43">
        <v>3200</v>
      </c>
      <c r="I43">
        <v>32000</v>
      </c>
      <c r="J43">
        <v>35</v>
      </c>
      <c r="K43" t="s">
        <v>28</v>
      </c>
      <c r="L43">
        <v>4.9000000000000004</v>
      </c>
      <c r="N43">
        <v>115</v>
      </c>
    </row>
    <row r="44" spans="1:14" x14ac:dyDescent="0.45">
      <c r="A44" t="s">
        <v>77</v>
      </c>
      <c r="B44" s="2">
        <v>46066</v>
      </c>
      <c r="C44" t="s">
        <v>24</v>
      </c>
      <c r="D44" t="s">
        <v>14</v>
      </c>
      <c r="E44" t="s">
        <v>15</v>
      </c>
      <c r="F44" t="s">
        <v>16</v>
      </c>
      <c r="G44">
        <v>3</v>
      </c>
      <c r="H44">
        <v>62000</v>
      </c>
      <c r="I44">
        <v>186000</v>
      </c>
      <c r="J44">
        <v>8</v>
      </c>
      <c r="K44" t="s">
        <v>17</v>
      </c>
      <c r="L44">
        <v>2.8</v>
      </c>
      <c r="N44">
        <v>120</v>
      </c>
    </row>
    <row r="45" spans="1:14" x14ac:dyDescent="0.45">
      <c r="A45" t="s">
        <v>78</v>
      </c>
      <c r="B45" s="2">
        <v>46067</v>
      </c>
      <c r="C45" t="s">
        <v>30</v>
      </c>
      <c r="D45" t="s">
        <v>20</v>
      </c>
      <c r="E45" t="s">
        <v>15</v>
      </c>
      <c r="F45" t="s">
        <v>21</v>
      </c>
      <c r="G45">
        <v>6</v>
      </c>
      <c r="H45">
        <v>14000</v>
      </c>
      <c r="I45">
        <v>84000</v>
      </c>
      <c r="J45">
        <v>12</v>
      </c>
      <c r="K45" t="s">
        <v>22</v>
      </c>
      <c r="L45">
        <v>3.4</v>
      </c>
      <c r="N45">
        <v>125</v>
      </c>
    </row>
    <row r="46" spans="1:14" x14ac:dyDescent="0.45">
      <c r="A46" t="s">
        <v>79</v>
      </c>
      <c r="B46" s="2">
        <v>46068</v>
      </c>
      <c r="C46" t="s">
        <v>13</v>
      </c>
      <c r="D46" t="s">
        <v>25</v>
      </c>
      <c r="E46" t="s">
        <v>26</v>
      </c>
      <c r="F46" t="s">
        <v>27</v>
      </c>
      <c r="G46">
        <v>9</v>
      </c>
      <c r="H46">
        <v>8500</v>
      </c>
      <c r="I46">
        <v>76500</v>
      </c>
      <c r="J46">
        <v>18</v>
      </c>
      <c r="K46" t="s">
        <v>28</v>
      </c>
      <c r="L46">
        <v>3.9</v>
      </c>
      <c r="N46">
        <v>130</v>
      </c>
    </row>
    <row r="47" spans="1:14" x14ac:dyDescent="0.45">
      <c r="A47" t="s">
        <v>80</v>
      </c>
      <c r="B47" s="2">
        <v>46069</v>
      </c>
      <c r="C47" t="s">
        <v>19</v>
      </c>
      <c r="D47" t="s">
        <v>31</v>
      </c>
      <c r="E47" t="s">
        <v>32</v>
      </c>
      <c r="F47" t="s">
        <v>33</v>
      </c>
      <c r="G47">
        <v>2</v>
      </c>
      <c r="H47">
        <v>1200</v>
      </c>
      <c r="I47">
        <v>2400</v>
      </c>
      <c r="J47">
        <v>22</v>
      </c>
      <c r="K47" t="s">
        <v>17</v>
      </c>
      <c r="L47">
        <v>4.2</v>
      </c>
      <c r="N47">
        <v>135</v>
      </c>
    </row>
    <row r="48" spans="1:14" x14ac:dyDescent="0.45">
      <c r="A48" t="s">
        <v>81</v>
      </c>
      <c r="B48" s="2">
        <v>46070</v>
      </c>
      <c r="C48" t="s">
        <v>24</v>
      </c>
      <c r="D48" t="s">
        <v>35</v>
      </c>
      <c r="E48" t="s">
        <v>32</v>
      </c>
      <c r="F48" t="s">
        <v>36</v>
      </c>
      <c r="G48">
        <v>5</v>
      </c>
      <c r="H48">
        <v>900</v>
      </c>
      <c r="I48">
        <v>4500</v>
      </c>
      <c r="J48">
        <v>28</v>
      </c>
      <c r="K48" t="s">
        <v>22</v>
      </c>
      <c r="L48">
        <v>4.5999999999999996</v>
      </c>
      <c r="N48">
        <v>140</v>
      </c>
    </row>
    <row r="49" spans="1:14" x14ac:dyDescent="0.45">
      <c r="A49" t="s">
        <v>82</v>
      </c>
      <c r="B49" s="2">
        <v>46071</v>
      </c>
      <c r="C49" t="s">
        <v>30</v>
      </c>
      <c r="D49" t="s">
        <v>38</v>
      </c>
      <c r="E49" t="s">
        <v>39</v>
      </c>
      <c r="F49" t="s">
        <v>40</v>
      </c>
      <c r="G49">
        <v>8</v>
      </c>
      <c r="H49">
        <v>3200</v>
      </c>
      <c r="I49">
        <v>25600</v>
      </c>
      <c r="J49">
        <v>35</v>
      </c>
      <c r="K49" t="s">
        <v>28</v>
      </c>
      <c r="L49">
        <v>4.9000000000000004</v>
      </c>
      <c r="N49">
        <v>145</v>
      </c>
    </row>
    <row r="50" spans="1:14" x14ac:dyDescent="0.45">
      <c r="A50" t="s">
        <v>83</v>
      </c>
      <c r="B50" s="2">
        <v>46072</v>
      </c>
      <c r="C50" t="s">
        <v>13</v>
      </c>
      <c r="D50" t="s">
        <v>14</v>
      </c>
      <c r="E50" t="s">
        <v>15</v>
      </c>
      <c r="F50" t="s">
        <v>16</v>
      </c>
      <c r="G50">
        <v>1</v>
      </c>
      <c r="H50">
        <v>62000</v>
      </c>
      <c r="I50">
        <v>62000</v>
      </c>
      <c r="J50">
        <v>8</v>
      </c>
      <c r="K50" t="s">
        <v>17</v>
      </c>
      <c r="L50">
        <v>2.8</v>
      </c>
      <c r="N50">
        <v>150</v>
      </c>
    </row>
    <row r="51" spans="1:14" x14ac:dyDescent="0.45">
      <c r="A51" t="s">
        <v>84</v>
      </c>
      <c r="B51" s="2">
        <v>46073</v>
      </c>
      <c r="C51" t="s">
        <v>19</v>
      </c>
      <c r="D51" t="s">
        <v>20</v>
      </c>
      <c r="E51" t="s">
        <v>15</v>
      </c>
      <c r="F51" t="s">
        <v>21</v>
      </c>
      <c r="G51">
        <v>4</v>
      </c>
      <c r="H51">
        <v>14000</v>
      </c>
      <c r="I51">
        <v>56000</v>
      </c>
      <c r="J51">
        <v>12</v>
      </c>
      <c r="K51" t="s">
        <v>22</v>
      </c>
      <c r="L51">
        <v>3.4</v>
      </c>
    </row>
    <row r="52" spans="1:14" x14ac:dyDescent="0.45">
      <c r="A52" t="s">
        <v>85</v>
      </c>
      <c r="B52" s="2">
        <v>46074</v>
      </c>
      <c r="C52" t="s">
        <v>24</v>
      </c>
      <c r="D52" t="s">
        <v>25</v>
      </c>
      <c r="E52" t="s">
        <v>26</v>
      </c>
      <c r="F52" t="s">
        <v>27</v>
      </c>
      <c r="G52">
        <v>7</v>
      </c>
      <c r="H52">
        <v>8500</v>
      </c>
      <c r="I52">
        <v>59500</v>
      </c>
      <c r="J52">
        <v>18</v>
      </c>
      <c r="K52" t="s">
        <v>28</v>
      </c>
      <c r="L52">
        <v>3.9</v>
      </c>
    </row>
    <row r="53" spans="1:14" x14ac:dyDescent="0.45">
      <c r="A53" t="s">
        <v>86</v>
      </c>
      <c r="B53" s="2">
        <v>46075</v>
      </c>
      <c r="C53" t="s">
        <v>30</v>
      </c>
      <c r="D53" t="s">
        <v>31</v>
      </c>
      <c r="E53" t="s">
        <v>32</v>
      </c>
      <c r="F53" t="s">
        <v>33</v>
      </c>
      <c r="G53">
        <v>10</v>
      </c>
      <c r="H53">
        <v>1200</v>
      </c>
      <c r="I53">
        <v>12000</v>
      </c>
      <c r="J53">
        <v>22</v>
      </c>
      <c r="K53" t="s">
        <v>17</v>
      </c>
      <c r="L53">
        <v>4.2</v>
      </c>
    </row>
    <row r="54" spans="1:14" x14ac:dyDescent="0.45">
      <c r="A54" t="s">
        <v>87</v>
      </c>
      <c r="B54" s="2">
        <v>46076</v>
      </c>
      <c r="C54" t="s">
        <v>13</v>
      </c>
      <c r="D54" t="s">
        <v>35</v>
      </c>
      <c r="E54" t="s">
        <v>32</v>
      </c>
      <c r="F54" t="s">
        <v>36</v>
      </c>
      <c r="G54">
        <v>3</v>
      </c>
      <c r="H54">
        <v>900</v>
      </c>
      <c r="I54">
        <v>2700</v>
      </c>
      <c r="J54">
        <v>28</v>
      </c>
      <c r="K54" t="s">
        <v>22</v>
      </c>
      <c r="L54">
        <v>4.5999999999999996</v>
      </c>
    </row>
    <row r="55" spans="1:14" x14ac:dyDescent="0.45">
      <c r="A55" t="s">
        <v>88</v>
      </c>
      <c r="B55" s="2">
        <v>46077</v>
      </c>
      <c r="C55" t="s">
        <v>19</v>
      </c>
      <c r="D55" t="s">
        <v>38</v>
      </c>
      <c r="E55" t="s">
        <v>39</v>
      </c>
      <c r="F55" t="s">
        <v>40</v>
      </c>
      <c r="G55">
        <v>6</v>
      </c>
      <c r="H55">
        <v>3200</v>
      </c>
      <c r="I55">
        <v>19200</v>
      </c>
      <c r="J55">
        <v>35</v>
      </c>
      <c r="K55" t="s">
        <v>28</v>
      </c>
      <c r="L55">
        <v>4.9000000000000004</v>
      </c>
    </row>
    <row r="56" spans="1:14" x14ac:dyDescent="0.45">
      <c r="A56" t="s">
        <v>89</v>
      </c>
      <c r="B56" s="2">
        <v>46078</v>
      </c>
      <c r="C56" t="s">
        <v>24</v>
      </c>
      <c r="D56" t="s">
        <v>14</v>
      </c>
      <c r="E56" t="s">
        <v>15</v>
      </c>
      <c r="F56" t="s">
        <v>16</v>
      </c>
      <c r="G56">
        <v>9</v>
      </c>
      <c r="H56">
        <v>62000</v>
      </c>
      <c r="I56">
        <v>558000</v>
      </c>
      <c r="J56">
        <v>8</v>
      </c>
      <c r="K56" t="s">
        <v>17</v>
      </c>
      <c r="L56">
        <v>2.8</v>
      </c>
    </row>
    <row r="57" spans="1:14" x14ac:dyDescent="0.45">
      <c r="A57" t="s">
        <v>90</v>
      </c>
      <c r="B57" s="2">
        <v>46079</v>
      </c>
      <c r="C57" t="s">
        <v>30</v>
      </c>
      <c r="D57" t="s">
        <v>20</v>
      </c>
      <c r="E57" t="s">
        <v>15</v>
      </c>
      <c r="F57" t="s">
        <v>21</v>
      </c>
      <c r="G57">
        <v>2</v>
      </c>
      <c r="H57">
        <v>14000</v>
      </c>
      <c r="I57">
        <v>28000</v>
      </c>
      <c r="J57">
        <v>12</v>
      </c>
      <c r="K57" t="s">
        <v>22</v>
      </c>
      <c r="L57">
        <v>3.4</v>
      </c>
    </row>
    <row r="58" spans="1:14" x14ac:dyDescent="0.45">
      <c r="A58" t="s">
        <v>91</v>
      </c>
      <c r="B58" s="2">
        <v>46080</v>
      </c>
      <c r="C58" t="s">
        <v>13</v>
      </c>
      <c r="D58" t="s">
        <v>25</v>
      </c>
      <c r="E58" t="s">
        <v>26</v>
      </c>
      <c r="F58" t="s">
        <v>27</v>
      </c>
      <c r="G58">
        <v>5</v>
      </c>
      <c r="H58">
        <v>8500</v>
      </c>
      <c r="I58">
        <v>42500</v>
      </c>
      <c r="J58">
        <v>18</v>
      </c>
      <c r="K58" t="s">
        <v>28</v>
      </c>
      <c r="L58">
        <v>3.9</v>
      </c>
    </row>
    <row r="59" spans="1:14" x14ac:dyDescent="0.45">
      <c r="A59" t="s">
        <v>92</v>
      </c>
      <c r="B59" s="2">
        <v>46081</v>
      </c>
      <c r="C59" t="s">
        <v>19</v>
      </c>
      <c r="D59" t="s">
        <v>31</v>
      </c>
      <c r="E59" t="s">
        <v>32</v>
      </c>
      <c r="F59" t="s">
        <v>33</v>
      </c>
      <c r="G59">
        <v>8</v>
      </c>
      <c r="H59">
        <v>1200</v>
      </c>
      <c r="I59">
        <v>9600</v>
      </c>
      <c r="J59">
        <v>22</v>
      </c>
      <c r="K59" t="s">
        <v>17</v>
      </c>
      <c r="L59">
        <v>4.2</v>
      </c>
    </row>
    <row r="60" spans="1:14" x14ac:dyDescent="0.45">
      <c r="A60" t="s">
        <v>93</v>
      </c>
      <c r="B60" s="2">
        <v>46082</v>
      </c>
      <c r="C60" t="s">
        <v>24</v>
      </c>
      <c r="D60" t="s">
        <v>35</v>
      </c>
      <c r="E60" t="s">
        <v>32</v>
      </c>
      <c r="F60" t="s">
        <v>36</v>
      </c>
      <c r="G60">
        <v>1</v>
      </c>
      <c r="H60">
        <v>900</v>
      </c>
      <c r="I60">
        <v>900</v>
      </c>
      <c r="J60">
        <v>28</v>
      </c>
      <c r="K60" t="s">
        <v>22</v>
      </c>
      <c r="L60">
        <v>4.5999999999999996</v>
      </c>
    </row>
    <row r="61" spans="1:14" x14ac:dyDescent="0.45">
      <c r="A61" t="s">
        <v>94</v>
      </c>
      <c r="B61" s="2">
        <v>46083</v>
      </c>
      <c r="C61" t="s">
        <v>30</v>
      </c>
      <c r="D61" t="s">
        <v>38</v>
      </c>
      <c r="E61" t="s">
        <v>39</v>
      </c>
      <c r="F61" t="s">
        <v>40</v>
      </c>
      <c r="G61">
        <v>4</v>
      </c>
      <c r="H61">
        <v>3200</v>
      </c>
      <c r="I61">
        <v>12800</v>
      </c>
      <c r="J61">
        <v>35</v>
      </c>
      <c r="K61" t="s">
        <v>28</v>
      </c>
      <c r="L61">
        <v>4.9000000000000004</v>
      </c>
    </row>
    <row r="62" spans="1:14" x14ac:dyDescent="0.45">
      <c r="A62" t="s">
        <v>95</v>
      </c>
      <c r="B62" s="2">
        <v>46024</v>
      </c>
      <c r="C62" t="s">
        <v>13</v>
      </c>
      <c r="D62" t="s">
        <v>14</v>
      </c>
      <c r="E62" t="s">
        <v>15</v>
      </c>
      <c r="F62" t="s">
        <v>16</v>
      </c>
      <c r="G62">
        <v>7</v>
      </c>
      <c r="H62">
        <v>62000</v>
      </c>
      <c r="I62">
        <v>434000</v>
      </c>
      <c r="J62">
        <v>8</v>
      </c>
      <c r="K62" t="s">
        <v>17</v>
      </c>
      <c r="L62">
        <v>2.8</v>
      </c>
    </row>
    <row r="63" spans="1:14" x14ac:dyDescent="0.45">
      <c r="A63" t="s">
        <v>96</v>
      </c>
      <c r="B63" s="2">
        <v>46025</v>
      </c>
      <c r="C63" t="s">
        <v>19</v>
      </c>
      <c r="D63" t="s">
        <v>20</v>
      </c>
      <c r="E63" t="s">
        <v>15</v>
      </c>
      <c r="F63" t="s">
        <v>21</v>
      </c>
      <c r="G63">
        <v>10</v>
      </c>
      <c r="H63">
        <v>14000</v>
      </c>
      <c r="I63">
        <v>140000</v>
      </c>
      <c r="J63">
        <v>12</v>
      </c>
      <c r="K63" t="s">
        <v>22</v>
      </c>
      <c r="L63">
        <v>3.4</v>
      </c>
    </row>
    <row r="64" spans="1:14" x14ac:dyDescent="0.45">
      <c r="A64" t="s">
        <v>97</v>
      </c>
      <c r="B64" s="2">
        <v>46026</v>
      </c>
      <c r="C64" t="s">
        <v>24</v>
      </c>
      <c r="D64" t="s">
        <v>25</v>
      </c>
      <c r="E64" t="s">
        <v>26</v>
      </c>
      <c r="F64" t="s">
        <v>27</v>
      </c>
      <c r="G64">
        <v>3</v>
      </c>
      <c r="H64">
        <v>8500</v>
      </c>
      <c r="I64">
        <v>25500</v>
      </c>
      <c r="J64">
        <v>18</v>
      </c>
      <c r="K64" t="s">
        <v>28</v>
      </c>
      <c r="L64">
        <v>3.9</v>
      </c>
    </row>
    <row r="65" spans="1:12" x14ac:dyDescent="0.45">
      <c r="A65" t="s">
        <v>98</v>
      </c>
      <c r="B65" s="2">
        <v>46027</v>
      </c>
      <c r="C65" t="s">
        <v>30</v>
      </c>
      <c r="D65" t="s">
        <v>31</v>
      </c>
      <c r="E65" t="s">
        <v>32</v>
      </c>
      <c r="F65" t="s">
        <v>33</v>
      </c>
      <c r="G65">
        <v>6</v>
      </c>
      <c r="H65">
        <v>1200</v>
      </c>
      <c r="I65">
        <v>7200</v>
      </c>
      <c r="J65">
        <v>22</v>
      </c>
      <c r="K65" t="s">
        <v>17</v>
      </c>
      <c r="L65">
        <v>4.2</v>
      </c>
    </row>
    <row r="66" spans="1:12" x14ac:dyDescent="0.45">
      <c r="A66" t="s">
        <v>99</v>
      </c>
      <c r="B66" s="2">
        <v>46028</v>
      </c>
      <c r="C66" t="s">
        <v>13</v>
      </c>
      <c r="D66" t="s">
        <v>35</v>
      </c>
      <c r="E66" t="s">
        <v>32</v>
      </c>
      <c r="F66" t="s">
        <v>36</v>
      </c>
      <c r="G66">
        <v>9</v>
      </c>
      <c r="H66">
        <v>900</v>
      </c>
      <c r="I66">
        <v>8100</v>
      </c>
      <c r="J66">
        <v>28</v>
      </c>
      <c r="K66" t="s">
        <v>22</v>
      </c>
      <c r="L66">
        <v>4.5999999999999996</v>
      </c>
    </row>
    <row r="67" spans="1:12" x14ac:dyDescent="0.45">
      <c r="A67" t="s">
        <v>100</v>
      </c>
      <c r="B67" s="2">
        <v>46029</v>
      </c>
      <c r="C67" t="s">
        <v>19</v>
      </c>
      <c r="D67" t="s">
        <v>38</v>
      </c>
      <c r="E67" t="s">
        <v>39</v>
      </c>
      <c r="F67" t="s">
        <v>40</v>
      </c>
      <c r="G67">
        <v>2</v>
      </c>
      <c r="H67">
        <v>3200</v>
      </c>
      <c r="I67">
        <v>6400</v>
      </c>
      <c r="J67">
        <v>35</v>
      </c>
      <c r="K67" t="s">
        <v>28</v>
      </c>
      <c r="L67">
        <v>4.9000000000000004</v>
      </c>
    </row>
    <row r="68" spans="1:12" x14ac:dyDescent="0.45">
      <c r="A68" t="s">
        <v>101</v>
      </c>
      <c r="B68" s="2">
        <v>46030</v>
      </c>
      <c r="C68" t="s">
        <v>24</v>
      </c>
      <c r="D68" t="s">
        <v>14</v>
      </c>
      <c r="E68" t="s">
        <v>15</v>
      </c>
      <c r="F68" t="s">
        <v>16</v>
      </c>
      <c r="G68">
        <v>5</v>
      </c>
      <c r="H68">
        <v>62000</v>
      </c>
      <c r="I68">
        <v>310000</v>
      </c>
      <c r="J68">
        <v>8</v>
      </c>
      <c r="K68" t="s">
        <v>17</v>
      </c>
      <c r="L68">
        <v>2.8</v>
      </c>
    </row>
    <row r="69" spans="1:12" x14ac:dyDescent="0.45">
      <c r="A69" t="s">
        <v>102</v>
      </c>
      <c r="B69" s="2">
        <v>46031</v>
      </c>
      <c r="C69" t="s">
        <v>30</v>
      </c>
      <c r="D69" t="s">
        <v>20</v>
      </c>
      <c r="E69" t="s">
        <v>15</v>
      </c>
      <c r="F69" t="s">
        <v>21</v>
      </c>
      <c r="G69">
        <v>8</v>
      </c>
      <c r="H69">
        <v>14000</v>
      </c>
      <c r="I69">
        <v>112000</v>
      </c>
      <c r="J69">
        <v>12</v>
      </c>
      <c r="K69" t="s">
        <v>22</v>
      </c>
      <c r="L69">
        <v>3.4</v>
      </c>
    </row>
    <row r="70" spans="1:12" x14ac:dyDescent="0.45">
      <c r="A70" t="s">
        <v>103</v>
      </c>
      <c r="B70" s="2">
        <v>46032</v>
      </c>
      <c r="C70" t="s">
        <v>13</v>
      </c>
      <c r="D70" t="s">
        <v>25</v>
      </c>
      <c r="E70" t="s">
        <v>26</v>
      </c>
      <c r="F70" t="s">
        <v>27</v>
      </c>
      <c r="G70">
        <v>1</v>
      </c>
      <c r="H70">
        <v>8500</v>
      </c>
      <c r="I70">
        <v>8500</v>
      </c>
      <c r="J70">
        <v>18</v>
      </c>
      <c r="K70" t="s">
        <v>28</v>
      </c>
      <c r="L70">
        <v>3.9</v>
      </c>
    </row>
    <row r="71" spans="1:12" x14ac:dyDescent="0.45">
      <c r="A71" t="s">
        <v>104</v>
      </c>
      <c r="B71" s="2">
        <v>46033</v>
      </c>
      <c r="C71" t="s">
        <v>19</v>
      </c>
      <c r="D71" t="s">
        <v>31</v>
      </c>
      <c r="E71" t="s">
        <v>32</v>
      </c>
      <c r="F71" t="s">
        <v>33</v>
      </c>
      <c r="G71">
        <v>4</v>
      </c>
      <c r="H71">
        <v>1200</v>
      </c>
      <c r="I71">
        <v>4800</v>
      </c>
      <c r="J71">
        <v>22</v>
      </c>
      <c r="K71" t="s">
        <v>17</v>
      </c>
      <c r="L71">
        <v>4.2</v>
      </c>
    </row>
    <row r="72" spans="1:12" x14ac:dyDescent="0.45">
      <c r="A72" t="s">
        <v>105</v>
      </c>
      <c r="B72" s="2">
        <v>46034</v>
      </c>
      <c r="C72" t="s">
        <v>24</v>
      </c>
      <c r="D72" t="s">
        <v>35</v>
      </c>
      <c r="E72" t="s">
        <v>32</v>
      </c>
      <c r="F72" t="s">
        <v>36</v>
      </c>
      <c r="G72">
        <v>7</v>
      </c>
      <c r="H72">
        <v>900</v>
      </c>
      <c r="I72">
        <v>6300</v>
      </c>
      <c r="J72">
        <v>28</v>
      </c>
      <c r="K72" t="s">
        <v>22</v>
      </c>
      <c r="L72">
        <v>4.5999999999999996</v>
      </c>
    </row>
    <row r="73" spans="1:12" x14ac:dyDescent="0.45">
      <c r="A73" t="s">
        <v>106</v>
      </c>
      <c r="B73" s="2">
        <v>46035</v>
      </c>
      <c r="C73" t="s">
        <v>30</v>
      </c>
      <c r="D73" t="s">
        <v>38</v>
      </c>
      <c r="E73" t="s">
        <v>39</v>
      </c>
      <c r="F73" t="s">
        <v>40</v>
      </c>
      <c r="G73">
        <v>10</v>
      </c>
      <c r="H73">
        <v>3200</v>
      </c>
      <c r="I73">
        <v>32000</v>
      </c>
      <c r="J73">
        <v>35</v>
      </c>
      <c r="K73" t="s">
        <v>28</v>
      </c>
      <c r="L73">
        <v>4.9000000000000004</v>
      </c>
    </row>
    <row r="74" spans="1:12" x14ac:dyDescent="0.45">
      <c r="A74" t="s">
        <v>107</v>
      </c>
      <c r="B74" s="2">
        <v>46036</v>
      </c>
      <c r="C74" t="s">
        <v>13</v>
      </c>
      <c r="D74" t="s">
        <v>14</v>
      </c>
      <c r="E74" t="s">
        <v>15</v>
      </c>
      <c r="F74" t="s">
        <v>16</v>
      </c>
      <c r="G74">
        <v>3</v>
      </c>
      <c r="H74">
        <v>62000</v>
      </c>
      <c r="I74">
        <v>186000</v>
      </c>
      <c r="J74">
        <v>8</v>
      </c>
      <c r="K74" t="s">
        <v>17</v>
      </c>
      <c r="L74">
        <v>2.8</v>
      </c>
    </row>
    <row r="75" spans="1:12" x14ac:dyDescent="0.45">
      <c r="A75" t="s">
        <v>108</v>
      </c>
      <c r="B75" s="2">
        <v>46037</v>
      </c>
      <c r="C75" t="s">
        <v>19</v>
      </c>
      <c r="D75" t="s">
        <v>20</v>
      </c>
      <c r="E75" t="s">
        <v>15</v>
      </c>
      <c r="F75" t="s">
        <v>21</v>
      </c>
      <c r="G75">
        <v>6</v>
      </c>
      <c r="H75">
        <v>14000</v>
      </c>
      <c r="I75">
        <v>84000</v>
      </c>
      <c r="J75">
        <v>12</v>
      </c>
      <c r="K75" t="s">
        <v>22</v>
      </c>
      <c r="L75">
        <v>3.4</v>
      </c>
    </row>
    <row r="76" spans="1:12" x14ac:dyDescent="0.45">
      <c r="A76" t="s">
        <v>109</v>
      </c>
      <c r="B76" s="2">
        <v>46038</v>
      </c>
      <c r="C76" t="s">
        <v>24</v>
      </c>
      <c r="D76" t="s">
        <v>25</v>
      </c>
      <c r="E76" t="s">
        <v>26</v>
      </c>
      <c r="F76" t="s">
        <v>27</v>
      </c>
      <c r="G76">
        <v>9</v>
      </c>
      <c r="H76">
        <v>8500</v>
      </c>
      <c r="I76">
        <v>76500</v>
      </c>
      <c r="J76">
        <v>18</v>
      </c>
      <c r="K76" t="s">
        <v>28</v>
      </c>
      <c r="L76">
        <v>3.9</v>
      </c>
    </row>
    <row r="77" spans="1:12" x14ac:dyDescent="0.45">
      <c r="A77" t="s">
        <v>110</v>
      </c>
      <c r="B77" s="2">
        <v>46039</v>
      </c>
      <c r="C77" t="s">
        <v>30</v>
      </c>
      <c r="D77" t="s">
        <v>31</v>
      </c>
      <c r="E77" t="s">
        <v>32</v>
      </c>
      <c r="F77" t="s">
        <v>33</v>
      </c>
      <c r="G77">
        <v>2</v>
      </c>
      <c r="H77">
        <v>1200</v>
      </c>
      <c r="I77">
        <v>2400</v>
      </c>
      <c r="J77">
        <v>22</v>
      </c>
      <c r="K77" t="s">
        <v>17</v>
      </c>
      <c r="L77">
        <v>4.2</v>
      </c>
    </row>
    <row r="78" spans="1:12" x14ac:dyDescent="0.45">
      <c r="A78" t="s">
        <v>111</v>
      </c>
      <c r="B78" s="2">
        <v>46040</v>
      </c>
      <c r="C78" t="s">
        <v>13</v>
      </c>
      <c r="D78" t="s">
        <v>35</v>
      </c>
      <c r="E78" t="s">
        <v>32</v>
      </c>
      <c r="F78" t="s">
        <v>36</v>
      </c>
      <c r="G78">
        <v>5</v>
      </c>
      <c r="H78">
        <v>900</v>
      </c>
      <c r="I78">
        <v>4500</v>
      </c>
      <c r="J78">
        <v>28</v>
      </c>
      <c r="K78" t="s">
        <v>22</v>
      </c>
      <c r="L78">
        <v>4.5999999999999996</v>
      </c>
    </row>
    <row r="79" spans="1:12" x14ac:dyDescent="0.45">
      <c r="A79" t="s">
        <v>112</v>
      </c>
      <c r="B79" s="2">
        <v>46041</v>
      </c>
      <c r="C79" t="s">
        <v>19</v>
      </c>
      <c r="D79" t="s">
        <v>38</v>
      </c>
      <c r="E79" t="s">
        <v>39</v>
      </c>
      <c r="F79" t="s">
        <v>40</v>
      </c>
      <c r="G79">
        <v>8</v>
      </c>
      <c r="H79">
        <v>3200</v>
      </c>
      <c r="I79">
        <v>25600</v>
      </c>
      <c r="J79">
        <v>35</v>
      </c>
      <c r="K79" t="s">
        <v>28</v>
      </c>
      <c r="L79">
        <v>4.9000000000000004</v>
      </c>
    </row>
    <row r="80" spans="1:12" x14ac:dyDescent="0.45">
      <c r="A80" t="s">
        <v>113</v>
      </c>
      <c r="B80" s="2">
        <v>46042</v>
      </c>
      <c r="C80" t="s">
        <v>24</v>
      </c>
      <c r="D80" t="s">
        <v>14</v>
      </c>
      <c r="E80" t="s">
        <v>15</v>
      </c>
      <c r="F80" t="s">
        <v>16</v>
      </c>
      <c r="G80">
        <v>1</v>
      </c>
      <c r="H80">
        <v>62000</v>
      </c>
      <c r="I80">
        <v>62000</v>
      </c>
      <c r="J80">
        <v>8</v>
      </c>
      <c r="K80" t="s">
        <v>17</v>
      </c>
      <c r="L80">
        <v>2.8</v>
      </c>
    </row>
    <row r="81" spans="1:12" x14ac:dyDescent="0.45">
      <c r="A81" t="s">
        <v>114</v>
      </c>
      <c r="B81" s="2">
        <v>46043</v>
      </c>
      <c r="C81" t="s">
        <v>30</v>
      </c>
      <c r="D81" t="s">
        <v>20</v>
      </c>
      <c r="E81" t="s">
        <v>15</v>
      </c>
      <c r="F81" t="s">
        <v>21</v>
      </c>
      <c r="G81">
        <v>4</v>
      </c>
      <c r="H81">
        <v>14000</v>
      </c>
      <c r="I81">
        <v>56000</v>
      </c>
      <c r="J81">
        <v>12</v>
      </c>
      <c r="K81" t="s">
        <v>22</v>
      </c>
      <c r="L81">
        <v>3.4</v>
      </c>
    </row>
    <row r="82" spans="1:12" x14ac:dyDescent="0.45">
      <c r="A82" t="s">
        <v>115</v>
      </c>
      <c r="B82" s="2">
        <v>46044</v>
      </c>
      <c r="C82" t="s">
        <v>13</v>
      </c>
      <c r="D82" t="s">
        <v>25</v>
      </c>
      <c r="E82" t="s">
        <v>26</v>
      </c>
      <c r="F82" t="s">
        <v>27</v>
      </c>
      <c r="G82">
        <v>7</v>
      </c>
      <c r="H82">
        <v>8500</v>
      </c>
      <c r="I82">
        <v>59500</v>
      </c>
      <c r="J82">
        <v>18</v>
      </c>
      <c r="K82" t="s">
        <v>28</v>
      </c>
      <c r="L82">
        <v>3.9</v>
      </c>
    </row>
    <row r="83" spans="1:12" x14ac:dyDescent="0.45">
      <c r="A83" t="s">
        <v>116</v>
      </c>
      <c r="B83" s="2">
        <v>46045</v>
      </c>
      <c r="C83" t="s">
        <v>19</v>
      </c>
      <c r="D83" t="s">
        <v>31</v>
      </c>
      <c r="E83" t="s">
        <v>32</v>
      </c>
      <c r="F83" t="s">
        <v>33</v>
      </c>
      <c r="G83">
        <v>10</v>
      </c>
      <c r="H83">
        <v>1200</v>
      </c>
      <c r="I83">
        <v>12000</v>
      </c>
      <c r="J83">
        <v>22</v>
      </c>
      <c r="K83" t="s">
        <v>17</v>
      </c>
      <c r="L83">
        <v>4.2</v>
      </c>
    </row>
    <row r="84" spans="1:12" x14ac:dyDescent="0.45">
      <c r="A84" t="s">
        <v>117</v>
      </c>
      <c r="B84" s="2">
        <v>46046</v>
      </c>
      <c r="C84" t="s">
        <v>24</v>
      </c>
      <c r="D84" t="s">
        <v>35</v>
      </c>
      <c r="E84" t="s">
        <v>32</v>
      </c>
      <c r="F84" t="s">
        <v>36</v>
      </c>
      <c r="G84">
        <v>3</v>
      </c>
      <c r="H84">
        <v>900</v>
      </c>
      <c r="I84">
        <v>2700</v>
      </c>
      <c r="J84">
        <v>28</v>
      </c>
      <c r="K84" t="s">
        <v>22</v>
      </c>
      <c r="L84">
        <v>4.5999999999999996</v>
      </c>
    </row>
    <row r="85" spans="1:12" x14ac:dyDescent="0.45">
      <c r="A85" t="s">
        <v>118</v>
      </c>
      <c r="B85" s="2">
        <v>46047</v>
      </c>
      <c r="C85" t="s">
        <v>30</v>
      </c>
      <c r="D85" t="s">
        <v>38</v>
      </c>
      <c r="E85" t="s">
        <v>39</v>
      </c>
      <c r="F85" t="s">
        <v>40</v>
      </c>
      <c r="G85">
        <v>6</v>
      </c>
      <c r="H85">
        <v>3200</v>
      </c>
      <c r="I85">
        <v>19200</v>
      </c>
      <c r="J85">
        <v>35</v>
      </c>
      <c r="K85" t="s">
        <v>28</v>
      </c>
      <c r="L85">
        <v>4.9000000000000004</v>
      </c>
    </row>
    <row r="86" spans="1:12" x14ac:dyDescent="0.45">
      <c r="A86" t="s">
        <v>119</v>
      </c>
      <c r="B86" s="2">
        <v>46048</v>
      </c>
      <c r="C86" t="s">
        <v>13</v>
      </c>
      <c r="D86" t="s">
        <v>14</v>
      </c>
      <c r="E86" t="s">
        <v>15</v>
      </c>
      <c r="F86" t="s">
        <v>16</v>
      </c>
      <c r="G86">
        <v>9</v>
      </c>
      <c r="H86">
        <v>62000</v>
      </c>
      <c r="I86">
        <v>558000</v>
      </c>
      <c r="J86">
        <v>8</v>
      </c>
      <c r="K86" t="s">
        <v>17</v>
      </c>
      <c r="L86">
        <v>2.8</v>
      </c>
    </row>
    <row r="87" spans="1:12" x14ac:dyDescent="0.45">
      <c r="A87" t="s">
        <v>120</v>
      </c>
      <c r="B87" s="2">
        <v>46049</v>
      </c>
      <c r="C87" t="s">
        <v>19</v>
      </c>
      <c r="D87" t="s">
        <v>20</v>
      </c>
      <c r="E87" t="s">
        <v>15</v>
      </c>
      <c r="F87" t="s">
        <v>21</v>
      </c>
      <c r="G87">
        <v>2</v>
      </c>
      <c r="H87">
        <v>14000</v>
      </c>
      <c r="I87">
        <v>28000</v>
      </c>
      <c r="J87">
        <v>12</v>
      </c>
      <c r="K87" t="s">
        <v>22</v>
      </c>
      <c r="L87">
        <v>3.4</v>
      </c>
    </row>
    <row r="88" spans="1:12" x14ac:dyDescent="0.45">
      <c r="A88" t="s">
        <v>121</v>
      </c>
      <c r="B88" s="2">
        <v>46050</v>
      </c>
      <c r="C88" t="s">
        <v>24</v>
      </c>
      <c r="D88" t="s">
        <v>25</v>
      </c>
      <c r="E88" t="s">
        <v>26</v>
      </c>
      <c r="F88" t="s">
        <v>27</v>
      </c>
      <c r="G88">
        <v>5</v>
      </c>
      <c r="H88">
        <v>8500</v>
      </c>
      <c r="I88">
        <v>42500</v>
      </c>
      <c r="J88">
        <v>18</v>
      </c>
      <c r="K88" t="s">
        <v>28</v>
      </c>
      <c r="L88">
        <v>3.9</v>
      </c>
    </row>
    <row r="89" spans="1:12" x14ac:dyDescent="0.45">
      <c r="A89" t="s">
        <v>122</v>
      </c>
      <c r="B89" s="2">
        <v>46051</v>
      </c>
      <c r="C89" t="s">
        <v>30</v>
      </c>
      <c r="D89" t="s">
        <v>31</v>
      </c>
      <c r="E89" t="s">
        <v>32</v>
      </c>
      <c r="F89" t="s">
        <v>33</v>
      </c>
      <c r="G89">
        <v>8</v>
      </c>
      <c r="H89">
        <v>1200</v>
      </c>
      <c r="I89">
        <v>9600</v>
      </c>
      <c r="J89">
        <v>22</v>
      </c>
      <c r="K89" t="s">
        <v>17</v>
      </c>
      <c r="L89">
        <v>4.2</v>
      </c>
    </row>
    <row r="90" spans="1:12" x14ac:dyDescent="0.45">
      <c r="A90" t="s">
        <v>123</v>
      </c>
      <c r="B90" s="2">
        <v>46052</v>
      </c>
      <c r="C90" t="s">
        <v>13</v>
      </c>
      <c r="D90" t="s">
        <v>35</v>
      </c>
      <c r="E90" t="s">
        <v>32</v>
      </c>
      <c r="F90" t="s">
        <v>36</v>
      </c>
      <c r="G90">
        <v>1</v>
      </c>
      <c r="H90">
        <v>900</v>
      </c>
      <c r="I90">
        <v>900</v>
      </c>
      <c r="J90">
        <v>28</v>
      </c>
      <c r="K90" t="s">
        <v>22</v>
      </c>
      <c r="L90">
        <v>4.5999999999999996</v>
      </c>
    </row>
    <row r="91" spans="1:12" x14ac:dyDescent="0.45">
      <c r="A91" t="s">
        <v>124</v>
      </c>
      <c r="B91" s="2">
        <v>46053</v>
      </c>
      <c r="C91" t="s">
        <v>19</v>
      </c>
      <c r="D91" t="s">
        <v>38</v>
      </c>
      <c r="E91" t="s">
        <v>39</v>
      </c>
      <c r="F91" t="s">
        <v>40</v>
      </c>
      <c r="G91">
        <v>4</v>
      </c>
      <c r="H91">
        <v>3200</v>
      </c>
      <c r="I91">
        <v>12800</v>
      </c>
      <c r="J91">
        <v>35</v>
      </c>
      <c r="K91" t="s">
        <v>28</v>
      </c>
      <c r="L91">
        <v>4.9000000000000004</v>
      </c>
    </row>
    <row r="92" spans="1:12" x14ac:dyDescent="0.45">
      <c r="A92" t="s">
        <v>125</v>
      </c>
      <c r="B92" s="2">
        <v>46054</v>
      </c>
      <c r="C92" t="s">
        <v>24</v>
      </c>
      <c r="D92" t="s">
        <v>14</v>
      </c>
      <c r="E92" t="s">
        <v>15</v>
      </c>
      <c r="F92" t="s">
        <v>16</v>
      </c>
      <c r="G92">
        <v>7</v>
      </c>
      <c r="H92">
        <v>62000</v>
      </c>
      <c r="I92">
        <v>434000</v>
      </c>
      <c r="J92">
        <v>8</v>
      </c>
      <c r="K92" t="s">
        <v>17</v>
      </c>
      <c r="L92">
        <v>2.8</v>
      </c>
    </row>
    <row r="93" spans="1:12" x14ac:dyDescent="0.45">
      <c r="A93" t="s">
        <v>126</v>
      </c>
      <c r="B93" s="2">
        <v>46055</v>
      </c>
      <c r="C93" t="s">
        <v>30</v>
      </c>
      <c r="D93" t="s">
        <v>20</v>
      </c>
      <c r="E93" t="s">
        <v>15</v>
      </c>
      <c r="F93" t="s">
        <v>21</v>
      </c>
      <c r="G93">
        <v>10</v>
      </c>
      <c r="H93">
        <v>14000</v>
      </c>
      <c r="I93">
        <v>140000</v>
      </c>
      <c r="J93">
        <v>12</v>
      </c>
      <c r="K93" t="s">
        <v>22</v>
      </c>
      <c r="L93">
        <v>3.4</v>
      </c>
    </row>
    <row r="94" spans="1:12" x14ac:dyDescent="0.45">
      <c r="A94" t="s">
        <v>127</v>
      </c>
      <c r="B94" s="2">
        <v>46056</v>
      </c>
      <c r="C94" t="s">
        <v>13</v>
      </c>
      <c r="D94" t="s">
        <v>25</v>
      </c>
      <c r="E94" t="s">
        <v>26</v>
      </c>
      <c r="F94" t="s">
        <v>27</v>
      </c>
      <c r="G94">
        <v>3</v>
      </c>
      <c r="H94">
        <v>8500</v>
      </c>
      <c r="I94">
        <v>25500</v>
      </c>
      <c r="J94">
        <v>18</v>
      </c>
      <c r="K94" t="s">
        <v>28</v>
      </c>
      <c r="L94">
        <v>3.9</v>
      </c>
    </row>
    <row r="95" spans="1:12" x14ac:dyDescent="0.45">
      <c r="A95" t="s">
        <v>128</v>
      </c>
      <c r="B95" s="2">
        <v>46057</v>
      </c>
      <c r="C95" t="s">
        <v>19</v>
      </c>
      <c r="D95" t="s">
        <v>31</v>
      </c>
      <c r="E95" t="s">
        <v>32</v>
      </c>
      <c r="F95" t="s">
        <v>33</v>
      </c>
      <c r="G95">
        <v>6</v>
      </c>
      <c r="H95">
        <v>1200</v>
      </c>
      <c r="I95">
        <v>7200</v>
      </c>
      <c r="J95">
        <v>22</v>
      </c>
      <c r="K95" t="s">
        <v>17</v>
      </c>
      <c r="L95">
        <v>4.2</v>
      </c>
    </row>
    <row r="96" spans="1:12" x14ac:dyDescent="0.45">
      <c r="A96" t="s">
        <v>129</v>
      </c>
      <c r="B96" s="2">
        <v>46058</v>
      </c>
      <c r="C96" t="s">
        <v>24</v>
      </c>
      <c r="D96" t="s">
        <v>35</v>
      </c>
      <c r="E96" t="s">
        <v>32</v>
      </c>
      <c r="F96" t="s">
        <v>36</v>
      </c>
      <c r="G96">
        <v>9</v>
      </c>
      <c r="H96">
        <v>900</v>
      </c>
      <c r="I96">
        <v>8100</v>
      </c>
      <c r="J96">
        <v>28</v>
      </c>
      <c r="K96" t="s">
        <v>22</v>
      </c>
      <c r="L96">
        <v>4.5999999999999996</v>
      </c>
    </row>
    <row r="97" spans="1:12" x14ac:dyDescent="0.45">
      <c r="A97" t="s">
        <v>130</v>
      </c>
      <c r="B97" s="2">
        <v>46059</v>
      </c>
      <c r="C97" t="s">
        <v>30</v>
      </c>
      <c r="D97" t="s">
        <v>38</v>
      </c>
      <c r="E97" t="s">
        <v>39</v>
      </c>
      <c r="F97" t="s">
        <v>40</v>
      </c>
      <c r="G97">
        <v>2</v>
      </c>
      <c r="H97">
        <v>3200</v>
      </c>
      <c r="I97">
        <v>6400</v>
      </c>
      <c r="J97">
        <v>35</v>
      </c>
      <c r="K97" t="s">
        <v>28</v>
      </c>
      <c r="L97">
        <v>4.9000000000000004</v>
      </c>
    </row>
    <row r="98" spans="1:12" x14ac:dyDescent="0.45">
      <c r="A98" t="s">
        <v>131</v>
      </c>
      <c r="B98" s="2">
        <v>46060</v>
      </c>
      <c r="C98" t="s">
        <v>13</v>
      </c>
      <c r="D98" t="s">
        <v>14</v>
      </c>
      <c r="E98" t="s">
        <v>15</v>
      </c>
      <c r="F98" t="s">
        <v>16</v>
      </c>
      <c r="G98">
        <v>5</v>
      </c>
      <c r="H98">
        <v>62000</v>
      </c>
      <c r="I98">
        <v>310000</v>
      </c>
      <c r="J98">
        <v>8</v>
      </c>
      <c r="K98" t="s">
        <v>17</v>
      </c>
      <c r="L98">
        <v>2.8</v>
      </c>
    </row>
    <row r="99" spans="1:12" x14ac:dyDescent="0.45">
      <c r="A99" t="s">
        <v>132</v>
      </c>
      <c r="B99" s="2">
        <v>46061</v>
      </c>
      <c r="C99" t="s">
        <v>19</v>
      </c>
      <c r="D99" t="s">
        <v>20</v>
      </c>
      <c r="E99" t="s">
        <v>15</v>
      </c>
      <c r="F99" t="s">
        <v>21</v>
      </c>
      <c r="G99">
        <v>8</v>
      </c>
      <c r="H99">
        <v>14000</v>
      </c>
      <c r="I99">
        <v>112000</v>
      </c>
      <c r="J99">
        <v>12</v>
      </c>
      <c r="K99" t="s">
        <v>22</v>
      </c>
      <c r="L99">
        <v>3.4</v>
      </c>
    </row>
    <row r="100" spans="1:12" x14ac:dyDescent="0.45">
      <c r="A100" t="s">
        <v>133</v>
      </c>
      <c r="B100" s="2">
        <v>46062</v>
      </c>
      <c r="C100" t="s">
        <v>24</v>
      </c>
      <c r="D100" t="s">
        <v>25</v>
      </c>
      <c r="E100" t="s">
        <v>26</v>
      </c>
      <c r="F100" t="s">
        <v>27</v>
      </c>
      <c r="G100">
        <v>1</v>
      </c>
      <c r="H100">
        <v>8500</v>
      </c>
      <c r="I100">
        <v>8500</v>
      </c>
      <c r="J100">
        <v>18</v>
      </c>
      <c r="K100" t="s">
        <v>28</v>
      </c>
      <c r="L100">
        <v>3.9</v>
      </c>
    </row>
    <row r="101" spans="1:12" x14ac:dyDescent="0.45">
      <c r="A101" t="s">
        <v>134</v>
      </c>
      <c r="B101" s="2">
        <v>46063</v>
      </c>
      <c r="C101" t="s">
        <v>30</v>
      </c>
      <c r="D101" t="s">
        <v>31</v>
      </c>
      <c r="E101" t="s">
        <v>32</v>
      </c>
      <c r="F101" t="s">
        <v>33</v>
      </c>
      <c r="G101">
        <v>4</v>
      </c>
      <c r="H101">
        <v>1200</v>
      </c>
      <c r="I101">
        <v>4800</v>
      </c>
      <c r="J101">
        <v>22</v>
      </c>
      <c r="K101" t="s">
        <v>17</v>
      </c>
      <c r="L101">
        <v>4.2</v>
      </c>
    </row>
  </sheetData>
  <conditionalFormatting sqref="I2:I101">
    <cfRule type="cellIs" dxfId="30" priority="17" operator="greaterThan">
      <formula>100000</formula>
    </cfRule>
  </conditionalFormatting>
  <conditionalFormatting sqref="J2:J101">
    <cfRule type="cellIs" dxfId="29" priority="5" operator="equal">
      <formula>35</formula>
    </cfRule>
    <cfRule type="cellIs" dxfId="28" priority="6" operator="between">
      <formula>20</formula>
      <formula>30</formula>
    </cfRule>
    <cfRule type="cellIs" dxfId="27" priority="16" operator="lessThan">
      <formula>10</formula>
    </cfRule>
  </conditionalFormatting>
  <conditionalFormatting sqref="G2:G101">
    <cfRule type="cellIs" dxfId="26" priority="15" operator="greaterThan">
      <formula>5</formula>
    </cfRule>
  </conditionalFormatting>
  <conditionalFormatting sqref="K2:K101">
    <cfRule type="containsText" dxfId="25" priority="12" operator="containsText" text="Cancelled">
      <formula>NOT(ISERROR(SEARCH("Cancelled",K2)))</formula>
    </cfRule>
    <cfRule type="containsText" dxfId="24" priority="13" operator="containsText" text="Pending">
      <formula>NOT(ISERROR(SEARCH("Pending",K2)))</formula>
    </cfRule>
    <cfRule type="containsText" dxfId="23" priority="14" operator="containsText" text="Completed">
      <formula>NOT(ISERROR(SEARCH("Completed",K2)))</formula>
    </cfRule>
  </conditionalFormatting>
  <conditionalFormatting sqref="L2:L10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1">
    <cfRule type="top10" dxfId="22" priority="9" bottom="1" rank="10"/>
    <cfRule type="top10" dxfId="21" priority="10" rank="10"/>
  </conditionalFormatting>
  <conditionalFormatting sqref="B2:B101">
    <cfRule type="duplicateValues" dxfId="20" priority="8"/>
  </conditionalFormatting>
  <conditionalFormatting sqref="O6:O19">
    <cfRule type="duplicateValues" dxfId="19" priority="7"/>
  </conditionalFormatting>
  <conditionalFormatting sqref="N21:N120">
    <cfRule type="top10" dxfId="18" priority="3" bottom="1" rank="10"/>
    <cfRule type="top10" dxfId="17" priority="4" rank="10"/>
  </conditionalFormatting>
  <conditionalFormatting sqref="N21:N50">
    <cfRule type="top10" dxfId="16" priority="1" percent="1" bottom="1" rank="10"/>
    <cfRule type="top10" dxfId="15" priority="2" percent="1" rank="1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F0C9-741A-4D23-99CF-CE0C5A0875A3}">
  <dimension ref="A1:B11"/>
  <sheetViews>
    <sheetView zoomScale="190" zoomScaleNormal="190" workbookViewId="0">
      <selection activeCell="B2" sqref="B2:B6"/>
    </sheetView>
  </sheetViews>
  <sheetFormatPr defaultRowHeight="14.25" x14ac:dyDescent="0.45"/>
  <cols>
    <col min="1" max="1" width="9.86328125" bestFit="1" customWidth="1"/>
  </cols>
  <sheetData>
    <row r="1" spans="1:2" x14ac:dyDescent="0.45">
      <c r="A1">
        <v>2001</v>
      </c>
      <c r="B1">
        <v>4584</v>
      </c>
    </row>
    <row r="2" spans="1:2" x14ac:dyDescent="0.45">
      <c r="A2">
        <v>320</v>
      </c>
      <c r="B2">
        <v>4</v>
      </c>
    </row>
    <row r="3" spans="1:2" x14ac:dyDescent="0.45">
      <c r="A3">
        <v>150</v>
      </c>
      <c r="B3">
        <v>12</v>
      </c>
    </row>
    <row r="4" spans="1:2" x14ac:dyDescent="0.45">
      <c r="A4">
        <v>160</v>
      </c>
      <c r="B4">
        <v>54</v>
      </c>
    </row>
    <row r="5" spans="1:2" x14ac:dyDescent="0.45">
      <c r="A5">
        <v>101</v>
      </c>
      <c r="B5">
        <v>6</v>
      </c>
    </row>
    <row r="6" spans="1:2" x14ac:dyDescent="0.45">
      <c r="A6">
        <v>148</v>
      </c>
      <c r="B6">
        <v>12</v>
      </c>
    </row>
    <row r="7" spans="1:2" x14ac:dyDescent="0.45">
      <c r="A7">
        <v>154</v>
      </c>
    </row>
    <row r="8" spans="1:2" x14ac:dyDescent="0.45">
      <c r="A8">
        <v>198</v>
      </c>
    </row>
    <row r="9" spans="1:2" x14ac:dyDescent="0.45">
      <c r="A9">
        <v>201</v>
      </c>
    </row>
    <row r="10" spans="1:2" x14ac:dyDescent="0.45">
      <c r="A10">
        <v>202</v>
      </c>
    </row>
    <row r="11" spans="1:2" x14ac:dyDescent="0.45">
      <c r="A11">
        <v>50</v>
      </c>
    </row>
  </sheetData>
  <conditionalFormatting sqref="A1:A11">
    <cfRule type="cellIs" dxfId="8" priority="5" operator="between">
      <formula>100</formula>
      <formula>200</formula>
    </cfRule>
  </conditionalFormatting>
  <conditionalFormatting sqref="D2:D12">
    <cfRule type="expression" dxfId="7" priority="2">
      <formula>$D$2=200</formula>
    </cfRule>
  </conditionalFormatting>
  <conditionalFormatting sqref="B1:B6">
    <cfRule type="expression" dxfId="6" priority="1">
      <formula>$B$1&lt;50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3940-2FD7-4FEB-9D8E-9642E1B53C3D}">
  <dimension ref="A1:M81"/>
  <sheetViews>
    <sheetView topLeftCell="A7" zoomScale="130" zoomScaleNormal="130" workbookViewId="0">
      <selection activeCell="J8" sqref="J8"/>
    </sheetView>
  </sheetViews>
  <sheetFormatPr defaultRowHeight="14.25" x14ac:dyDescent="0.45"/>
  <cols>
    <col min="1" max="1" width="9.1328125" bestFit="1" customWidth="1"/>
    <col min="2" max="2" width="26.73046875" bestFit="1" customWidth="1"/>
    <col min="3" max="3" width="14.59765625" bestFit="1" customWidth="1"/>
    <col min="4" max="4" width="11.3984375" bestFit="1" customWidth="1"/>
    <col min="5" max="5" width="9.33203125" bestFit="1" customWidth="1"/>
    <col min="6" max="7" width="10.1328125" bestFit="1" customWidth="1"/>
    <col min="8" max="8" width="9.265625" bestFit="1" customWidth="1"/>
    <col min="9" max="9" width="12.33203125" bestFit="1" customWidth="1"/>
    <col min="13" max="13" width="10.1328125" bestFit="1" customWidth="1"/>
  </cols>
  <sheetData>
    <row r="1" spans="1:13" x14ac:dyDescent="0.45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7</v>
      </c>
      <c r="G1" t="s">
        <v>147</v>
      </c>
      <c r="H1" t="s">
        <v>148</v>
      </c>
      <c r="I1" t="s">
        <v>149</v>
      </c>
    </row>
    <row r="2" spans="1:13" x14ac:dyDescent="0.45">
      <c r="A2" t="s">
        <v>150</v>
      </c>
      <c r="B2" t="s">
        <v>151</v>
      </c>
      <c r="C2" t="s">
        <v>15</v>
      </c>
      <c r="D2" t="s">
        <v>32</v>
      </c>
      <c r="E2" t="s">
        <v>152</v>
      </c>
      <c r="F2" s="3">
        <v>1530.71</v>
      </c>
      <c r="G2" s="3">
        <v>970.1</v>
      </c>
      <c r="H2" t="s">
        <v>153</v>
      </c>
      <c r="I2">
        <v>379</v>
      </c>
    </row>
    <row r="3" spans="1:13" x14ac:dyDescent="0.45">
      <c r="A3" t="s">
        <v>154</v>
      </c>
      <c r="B3" t="s">
        <v>155</v>
      </c>
      <c r="C3" t="s">
        <v>15</v>
      </c>
      <c r="D3" t="s">
        <v>32</v>
      </c>
      <c r="E3" t="s">
        <v>156</v>
      </c>
      <c r="F3" s="3">
        <v>6926.15</v>
      </c>
      <c r="G3" s="3">
        <v>4849</v>
      </c>
      <c r="H3" t="s">
        <v>157</v>
      </c>
      <c r="I3">
        <v>377</v>
      </c>
      <c r="K3" t="s">
        <v>355</v>
      </c>
      <c r="M3" s="3">
        <f>AVERAGE(G2:G81)</f>
        <v>18948.032500000005</v>
      </c>
    </row>
    <row r="4" spans="1:13" x14ac:dyDescent="0.45">
      <c r="A4" t="s">
        <v>158</v>
      </c>
      <c r="B4" t="s">
        <v>159</v>
      </c>
      <c r="C4" t="s">
        <v>15</v>
      </c>
      <c r="D4" t="s">
        <v>160</v>
      </c>
      <c r="E4" t="s">
        <v>161</v>
      </c>
      <c r="F4" s="3">
        <v>66567.81</v>
      </c>
      <c r="G4" s="3">
        <v>53767.14</v>
      </c>
      <c r="H4" t="s">
        <v>162</v>
      </c>
      <c r="I4">
        <v>44</v>
      </c>
    </row>
    <row r="5" spans="1:13" x14ac:dyDescent="0.45">
      <c r="A5" t="s">
        <v>163</v>
      </c>
      <c r="B5" t="s">
        <v>164</v>
      </c>
      <c r="C5" t="s">
        <v>15</v>
      </c>
      <c r="D5" t="s">
        <v>160</v>
      </c>
      <c r="E5" t="s">
        <v>165</v>
      </c>
      <c r="F5" s="3">
        <v>79295.539999999994</v>
      </c>
      <c r="G5" s="3">
        <v>64742.12</v>
      </c>
      <c r="H5" t="s">
        <v>153</v>
      </c>
      <c r="I5">
        <v>47</v>
      </c>
      <c r="L5" t="s">
        <v>356</v>
      </c>
    </row>
    <row r="6" spans="1:13" x14ac:dyDescent="0.45">
      <c r="A6" t="s">
        <v>166</v>
      </c>
      <c r="B6" t="s">
        <v>167</v>
      </c>
      <c r="C6" t="s">
        <v>15</v>
      </c>
      <c r="D6" t="s">
        <v>168</v>
      </c>
      <c r="E6" t="s">
        <v>169</v>
      </c>
      <c r="F6" s="3">
        <v>22737.11</v>
      </c>
      <c r="G6" s="3">
        <v>17597.310000000001</v>
      </c>
      <c r="H6" t="s">
        <v>153</v>
      </c>
      <c r="I6">
        <v>287</v>
      </c>
    </row>
    <row r="7" spans="1:13" x14ac:dyDescent="0.45">
      <c r="A7" t="s">
        <v>170</v>
      </c>
      <c r="B7" t="s">
        <v>171</v>
      </c>
      <c r="C7" t="s">
        <v>15</v>
      </c>
      <c r="D7" t="s">
        <v>168</v>
      </c>
      <c r="E7" t="s">
        <v>172</v>
      </c>
      <c r="F7" s="3">
        <v>16435.48</v>
      </c>
      <c r="G7" s="3">
        <v>12430.11</v>
      </c>
      <c r="H7" t="s">
        <v>162</v>
      </c>
      <c r="I7">
        <v>214</v>
      </c>
    </row>
    <row r="8" spans="1:13" x14ac:dyDescent="0.45">
      <c r="A8" t="s">
        <v>173</v>
      </c>
      <c r="B8" t="s">
        <v>174</v>
      </c>
      <c r="C8" t="s">
        <v>15</v>
      </c>
      <c r="D8" t="s">
        <v>32</v>
      </c>
      <c r="E8" t="s">
        <v>165</v>
      </c>
      <c r="F8" s="3">
        <v>12070.23</v>
      </c>
      <c r="G8" s="3">
        <v>8651.06</v>
      </c>
      <c r="H8" t="s">
        <v>175</v>
      </c>
      <c r="I8">
        <v>414</v>
      </c>
    </row>
    <row r="9" spans="1:13" x14ac:dyDescent="0.45">
      <c r="A9" t="s">
        <v>176</v>
      </c>
      <c r="B9" t="s">
        <v>177</v>
      </c>
      <c r="C9" t="s">
        <v>15</v>
      </c>
      <c r="D9" t="s">
        <v>178</v>
      </c>
      <c r="E9" t="s">
        <v>179</v>
      </c>
      <c r="F9" s="3">
        <v>25766.58</v>
      </c>
      <c r="G9" s="3">
        <v>20098.740000000002</v>
      </c>
      <c r="H9" t="s">
        <v>180</v>
      </c>
      <c r="I9">
        <v>357</v>
      </c>
    </row>
    <row r="10" spans="1:13" x14ac:dyDescent="0.45">
      <c r="A10" t="s">
        <v>181</v>
      </c>
      <c r="B10" t="s">
        <v>182</v>
      </c>
      <c r="C10" t="s">
        <v>15</v>
      </c>
      <c r="D10" t="s">
        <v>32</v>
      </c>
      <c r="E10" t="s">
        <v>152</v>
      </c>
      <c r="F10" s="3">
        <v>5982.32</v>
      </c>
      <c r="G10" s="3">
        <v>3889.16</v>
      </c>
      <c r="H10" t="s">
        <v>157</v>
      </c>
      <c r="I10">
        <v>110</v>
      </c>
    </row>
    <row r="11" spans="1:13" x14ac:dyDescent="0.45">
      <c r="A11" t="s">
        <v>183</v>
      </c>
      <c r="B11" t="s">
        <v>184</v>
      </c>
      <c r="C11" t="s">
        <v>15</v>
      </c>
      <c r="D11" t="s">
        <v>185</v>
      </c>
      <c r="E11" t="s">
        <v>169</v>
      </c>
      <c r="F11" s="3">
        <v>8802.61</v>
      </c>
      <c r="G11" s="3">
        <v>6651.6</v>
      </c>
      <c r="H11" t="s">
        <v>186</v>
      </c>
      <c r="I11">
        <v>49</v>
      </c>
    </row>
    <row r="12" spans="1:13" x14ac:dyDescent="0.45">
      <c r="A12" t="s">
        <v>187</v>
      </c>
      <c r="B12" t="s">
        <v>188</v>
      </c>
      <c r="C12" t="s">
        <v>26</v>
      </c>
      <c r="D12" t="s">
        <v>189</v>
      </c>
      <c r="E12" t="s">
        <v>190</v>
      </c>
      <c r="F12" s="3">
        <v>19717.150000000001</v>
      </c>
      <c r="G12" s="3">
        <v>13698.95</v>
      </c>
      <c r="H12" t="s">
        <v>175</v>
      </c>
      <c r="I12">
        <v>413</v>
      </c>
    </row>
    <row r="13" spans="1:13" x14ac:dyDescent="0.45">
      <c r="A13" t="s">
        <v>191</v>
      </c>
      <c r="B13" t="s">
        <v>192</v>
      </c>
      <c r="C13" t="s">
        <v>26</v>
      </c>
      <c r="D13" t="s">
        <v>189</v>
      </c>
      <c r="E13" t="s">
        <v>193</v>
      </c>
      <c r="F13" s="3">
        <v>28793.57</v>
      </c>
      <c r="G13" s="3">
        <v>20361.900000000001</v>
      </c>
      <c r="H13" t="s">
        <v>162</v>
      </c>
      <c r="I13">
        <v>63</v>
      </c>
    </row>
    <row r="14" spans="1:13" x14ac:dyDescent="0.45">
      <c r="A14" t="s">
        <v>194</v>
      </c>
      <c r="B14" t="s">
        <v>195</v>
      </c>
      <c r="C14" t="s">
        <v>26</v>
      </c>
      <c r="D14" t="s">
        <v>196</v>
      </c>
      <c r="E14" t="s">
        <v>197</v>
      </c>
      <c r="F14" s="3">
        <v>34169.660000000003</v>
      </c>
      <c r="G14" s="3">
        <v>24407.599999999999</v>
      </c>
      <c r="H14" t="s">
        <v>198</v>
      </c>
      <c r="I14">
        <v>424</v>
      </c>
    </row>
    <row r="15" spans="1:13" x14ac:dyDescent="0.45">
      <c r="A15" t="s">
        <v>199</v>
      </c>
      <c r="B15" t="s">
        <v>200</v>
      </c>
      <c r="C15" t="s">
        <v>26</v>
      </c>
      <c r="D15" t="s">
        <v>196</v>
      </c>
      <c r="E15" t="s">
        <v>201</v>
      </c>
      <c r="F15" s="3">
        <v>17330.169999999998</v>
      </c>
      <c r="G15" s="3">
        <v>12131.83</v>
      </c>
      <c r="H15" t="s">
        <v>202</v>
      </c>
      <c r="I15">
        <v>295</v>
      </c>
    </row>
    <row r="16" spans="1:13" x14ac:dyDescent="0.45">
      <c r="A16" t="s">
        <v>203</v>
      </c>
      <c r="B16" t="s">
        <v>204</v>
      </c>
      <c r="C16" t="s">
        <v>26</v>
      </c>
      <c r="D16" t="s">
        <v>185</v>
      </c>
      <c r="E16" t="s">
        <v>201</v>
      </c>
      <c r="F16" s="3">
        <v>13341.73</v>
      </c>
      <c r="G16" s="3">
        <v>9032.02</v>
      </c>
      <c r="H16" t="s">
        <v>205</v>
      </c>
      <c r="I16">
        <v>338</v>
      </c>
    </row>
    <row r="17" spans="1:9" x14ac:dyDescent="0.45">
      <c r="A17" t="s">
        <v>206</v>
      </c>
      <c r="B17" t="s">
        <v>207</v>
      </c>
      <c r="C17" t="s">
        <v>208</v>
      </c>
      <c r="D17" t="s">
        <v>209</v>
      </c>
      <c r="E17" t="s">
        <v>210</v>
      </c>
      <c r="F17" s="3">
        <v>22699.57</v>
      </c>
      <c r="G17" s="3">
        <v>17541.37</v>
      </c>
      <c r="H17" t="s">
        <v>211</v>
      </c>
      <c r="I17">
        <v>437</v>
      </c>
    </row>
    <row r="18" spans="1:9" x14ac:dyDescent="0.45">
      <c r="A18" t="s">
        <v>212</v>
      </c>
      <c r="B18" t="s">
        <v>213</v>
      </c>
      <c r="C18" t="s">
        <v>208</v>
      </c>
      <c r="D18" t="s">
        <v>209</v>
      </c>
      <c r="E18" t="s">
        <v>214</v>
      </c>
      <c r="F18" s="3">
        <v>19746.02</v>
      </c>
      <c r="G18" s="3">
        <v>14758.33</v>
      </c>
      <c r="H18" t="s">
        <v>186</v>
      </c>
      <c r="I18">
        <v>142</v>
      </c>
    </row>
    <row r="19" spans="1:9" x14ac:dyDescent="0.45">
      <c r="A19" t="s">
        <v>215</v>
      </c>
      <c r="B19" t="s">
        <v>216</v>
      </c>
      <c r="C19" t="s">
        <v>208</v>
      </c>
      <c r="D19" t="s">
        <v>217</v>
      </c>
      <c r="E19" t="s">
        <v>218</v>
      </c>
      <c r="F19" s="3">
        <v>11228.38</v>
      </c>
      <c r="G19" s="3">
        <v>8268.92</v>
      </c>
      <c r="H19" t="s">
        <v>202</v>
      </c>
      <c r="I19">
        <v>83</v>
      </c>
    </row>
    <row r="20" spans="1:9" x14ac:dyDescent="0.45">
      <c r="A20" t="s">
        <v>219</v>
      </c>
      <c r="B20" t="s">
        <v>220</v>
      </c>
      <c r="C20" t="s">
        <v>39</v>
      </c>
      <c r="D20" t="s">
        <v>221</v>
      </c>
      <c r="E20" t="s">
        <v>222</v>
      </c>
      <c r="F20" s="3">
        <v>8984.7999999999993</v>
      </c>
      <c r="G20" s="3">
        <v>6190.21</v>
      </c>
      <c r="H20" t="s">
        <v>175</v>
      </c>
      <c r="I20">
        <v>359</v>
      </c>
    </row>
    <row r="21" spans="1:9" x14ac:dyDescent="0.45">
      <c r="A21" t="s">
        <v>223</v>
      </c>
      <c r="B21" t="s">
        <v>224</v>
      </c>
      <c r="C21" t="s">
        <v>39</v>
      </c>
      <c r="D21" t="s">
        <v>225</v>
      </c>
      <c r="E21" t="s">
        <v>226</v>
      </c>
      <c r="F21" s="3">
        <v>33719.79</v>
      </c>
      <c r="G21" s="3">
        <v>25341.7</v>
      </c>
      <c r="H21" t="s">
        <v>180</v>
      </c>
      <c r="I21">
        <v>273</v>
      </c>
    </row>
    <row r="22" spans="1:9" x14ac:dyDescent="0.45">
      <c r="A22" t="s">
        <v>227</v>
      </c>
      <c r="B22" t="s">
        <v>228</v>
      </c>
      <c r="C22" t="s">
        <v>15</v>
      </c>
      <c r="D22" t="s">
        <v>32</v>
      </c>
      <c r="E22" t="s">
        <v>152</v>
      </c>
      <c r="F22" s="3">
        <v>1588.32</v>
      </c>
      <c r="G22" s="3">
        <v>1006.61</v>
      </c>
      <c r="H22" t="s">
        <v>229</v>
      </c>
      <c r="I22">
        <v>194</v>
      </c>
    </row>
    <row r="23" spans="1:9" x14ac:dyDescent="0.45">
      <c r="A23" t="s">
        <v>230</v>
      </c>
      <c r="B23" t="s">
        <v>231</v>
      </c>
      <c r="C23" t="s">
        <v>15</v>
      </c>
      <c r="D23" t="s">
        <v>32</v>
      </c>
      <c r="E23" t="s">
        <v>156</v>
      </c>
      <c r="F23" s="3">
        <v>7833.01</v>
      </c>
      <c r="G23" s="3">
        <v>5483.89</v>
      </c>
      <c r="H23" t="s">
        <v>162</v>
      </c>
      <c r="I23">
        <v>112</v>
      </c>
    </row>
    <row r="24" spans="1:9" x14ac:dyDescent="0.45">
      <c r="A24" t="s">
        <v>232</v>
      </c>
      <c r="B24" t="s">
        <v>233</v>
      </c>
      <c r="C24" t="s">
        <v>15</v>
      </c>
      <c r="D24" t="s">
        <v>160</v>
      </c>
      <c r="E24" t="s">
        <v>161</v>
      </c>
      <c r="F24" s="3">
        <v>69285.2</v>
      </c>
      <c r="G24" s="3">
        <v>55961.99</v>
      </c>
      <c r="H24" t="s">
        <v>205</v>
      </c>
      <c r="I24">
        <v>117</v>
      </c>
    </row>
    <row r="25" spans="1:9" x14ac:dyDescent="0.45">
      <c r="A25" t="s">
        <v>234</v>
      </c>
      <c r="B25" t="s">
        <v>235</v>
      </c>
      <c r="C25" t="s">
        <v>15</v>
      </c>
      <c r="D25" t="s">
        <v>160</v>
      </c>
      <c r="E25" t="s">
        <v>165</v>
      </c>
      <c r="F25" s="3">
        <v>87246.79</v>
      </c>
      <c r="G25" s="3">
        <v>71234.039999999994</v>
      </c>
      <c r="H25" t="s">
        <v>186</v>
      </c>
      <c r="I25">
        <v>137</v>
      </c>
    </row>
    <row r="26" spans="1:9" x14ac:dyDescent="0.45">
      <c r="A26" t="s">
        <v>236</v>
      </c>
      <c r="B26" t="s">
        <v>237</v>
      </c>
      <c r="C26" t="s">
        <v>15</v>
      </c>
      <c r="D26" t="s">
        <v>168</v>
      </c>
      <c r="E26" t="s">
        <v>169</v>
      </c>
      <c r="F26" s="3">
        <v>24307.15</v>
      </c>
      <c r="G26" s="3">
        <v>18812.439999999999</v>
      </c>
      <c r="H26" t="s">
        <v>238</v>
      </c>
      <c r="I26">
        <v>108</v>
      </c>
    </row>
    <row r="27" spans="1:9" x14ac:dyDescent="0.45">
      <c r="A27" t="s">
        <v>239</v>
      </c>
      <c r="B27" t="s">
        <v>240</v>
      </c>
      <c r="C27" t="s">
        <v>15</v>
      </c>
      <c r="D27" t="s">
        <v>168</v>
      </c>
      <c r="E27" t="s">
        <v>172</v>
      </c>
      <c r="F27" s="3">
        <v>17277.939999999999</v>
      </c>
      <c r="G27" s="3">
        <v>13067.26</v>
      </c>
      <c r="H27" t="s">
        <v>229</v>
      </c>
      <c r="I27">
        <v>73</v>
      </c>
    </row>
    <row r="28" spans="1:9" x14ac:dyDescent="0.45">
      <c r="A28" t="s">
        <v>241</v>
      </c>
      <c r="B28" t="s">
        <v>242</v>
      </c>
      <c r="C28" t="s">
        <v>15</v>
      </c>
      <c r="D28" t="s">
        <v>32</v>
      </c>
      <c r="E28" t="s">
        <v>165</v>
      </c>
      <c r="F28" s="3">
        <v>12612.99</v>
      </c>
      <c r="G28" s="3">
        <v>9040.07</v>
      </c>
      <c r="H28" t="s">
        <v>162</v>
      </c>
      <c r="I28">
        <v>275</v>
      </c>
    </row>
    <row r="29" spans="1:9" x14ac:dyDescent="0.45">
      <c r="A29" t="s">
        <v>243</v>
      </c>
      <c r="B29" t="s">
        <v>244</v>
      </c>
      <c r="C29" t="s">
        <v>15</v>
      </c>
      <c r="D29" t="s">
        <v>178</v>
      </c>
      <c r="E29" t="s">
        <v>179</v>
      </c>
      <c r="F29" s="3">
        <v>27492.93</v>
      </c>
      <c r="G29" s="3">
        <v>21445.34</v>
      </c>
      <c r="H29" t="s">
        <v>245</v>
      </c>
      <c r="I29">
        <v>298</v>
      </c>
    </row>
    <row r="30" spans="1:9" x14ac:dyDescent="0.45">
      <c r="A30" t="s">
        <v>246</v>
      </c>
      <c r="B30" t="s">
        <v>247</v>
      </c>
      <c r="C30" t="s">
        <v>15</v>
      </c>
      <c r="D30" t="s">
        <v>32</v>
      </c>
      <c r="E30" t="s">
        <v>152</v>
      </c>
      <c r="F30" s="3">
        <v>6412.69</v>
      </c>
      <c r="G30" s="3">
        <v>4168.9399999999996</v>
      </c>
      <c r="H30" t="s">
        <v>157</v>
      </c>
      <c r="I30">
        <v>260</v>
      </c>
    </row>
    <row r="31" spans="1:9" x14ac:dyDescent="0.45">
      <c r="A31" t="s">
        <v>248</v>
      </c>
      <c r="B31" t="s">
        <v>249</v>
      </c>
      <c r="C31" t="s">
        <v>15</v>
      </c>
      <c r="D31" t="s">
        <v>185</v>
      </c>
      <c r="E31" t="s">
        <v>169</v>
      </c>
      <c r="F31" s="3">
        <v>9424.41</v>
      </c>
      <c r="G31" s="3">
        <v>7121.45</v>
      </c>
      <c r="H31" t="s">
        <v>205</v>
      </c>
      <c r="I31">
        <v>440</v>
      </c>
    </row>
    <row r="32" spans="1:9" x14ac:dyDescent="0.45">
      <c r="A32" t="s">
        <v>250</v>
      </c>
      <c r="B32" t="s">
        <v>251</v>
      </c>
      <c r="C32" t="s">
        <v>26</v>
      </c>
      <c r="D32" t="s">
        <v>189</v>
      </c>
      <c r="E32" t="s">
        <v>190</v>
      </c>
      <c r="F32" s="3">
        <v>19991.27</v>
      </c>
      <c r="G32" s="3">
        <v>13889.4</v>
      </c>
      <c r="H32" t="s">
        <v>180</v>
      </c>
      <c r="I32">
        <v>405</v>
      </c>
    </row>
    <row r="33" spans="1:9" x14ac:dyDescent="0.45">
      <c r="A33" t="s">
        <v>252</v>
      </c>
      <c r="B33" t="s">
        <v>253</v>
      </c>
      <c r="C33" t="s">
        <v>26</v>
      </c>
      <c r="D33" t="s">
        <v>189</v>
      </c>
      <c r="E33" t="s">
        <v>193</v>
      </c>
      <c r="F33" s="3">
        <v>30064.560000000001</v>
      </c>
      <c r="G33" s="3">
        <v>21260.7</v>
      </c>
      <c r="H33" t="s">
        <v>211</v>
      </c>
      <c r="I33">
        <v>197</v>
      </c>
    </row>
    <row r="34" spans="1:9" x14ac:dyDescent="0.45">
      <c r="A34" t="s">
        <v>254</v>
      </c>
      <c r="B34" t="s">
        <v>255</v>
      </c>
      <c r="C34" t="s">
        <v>26</v>
      </c>
      <c r="D34" t="s">
        <v>196</v>
      </c>
      <c r="E34" t="s">
        <v>197</v>
      </c>
      <c r="F34" s="3">
        <v>38067.4</v>
      </c>
      <c r="G34" s="3">
        <v>27191.78</v>
      </c>
      <c r="H34" t="s">
        <v>229</v>
      </c>
      <c r="I34">
        <v>270</v>
      </c>
    </row>
    <row r="35" spans="1:9" x14ac:dyDescent="0.45">
      <c r="A35" t="s">
        <v>256</v>
      </c>
      <c r="B35" t="s">
        <v>257</v>
      </c>
      <c r="C35" t="s">
        <v>26</v>
      </c>
      <c r="D35" t="s">
        <v>196</v>
      </c>
      <c r="E35" t="s">
        <v>201</v>
      </c>
      <c r="F35" s="3">
        <v>18999.55</v>
      </c>
      <c r="G35" s="3">
        <v>13300.47</v>
      </c>
      <c r="H35" t="s">
        <v>153</v>
      </c>
      <c r="I35">
        <v>348</v>
      </c>
    </row>
    <row r="36" spans="1:9" x14ac:dyDescent="0.45">
      <c r="A36" t="s">
        <v>258</v>
      </c>
      <c r="B36" t="s">
        <v>259</v>
      </c>
      <c r="C36" t="s">
        <v>26</v>
      </c>
      <c r="D36" t="s">
        <v>185</v>
      </c>
      <c r="E36" t="s">
        <v>201</v>
      </c>
      <c r="F36" s="3">
        <v>13638.08</v>
      </c>
      <c r="G36" s="3">
        <v>9232.64</v>
      </c>
      <c r="H36" t="s">
        <v>162</v>
      </c>
      <c r="I36">
        <v>384</v>
      </c>
    </row>
    <row r="37" spans="1:9" x14ac:dyDescent="0.45">
      <c r="A37" t="s">
        <v>260</v>
      </c>
      <c r="B37" t="s">
        <v>261</v>
      </c>
      <c r="C37" t="s">
        <v>208</v>
      </c>
      <c r="D37" t="s">
        <v>209</v>
      </c>
      <c r="E37" t="s">
        <v>210</v>
      </c>
      <c r="F37" s="3">
        <v>24231.63</v>
      </c>
      <c r="G37" s="3">
        <v>18725.29</v>
      </c>
      <c r="H37" t="s">
        <v>238</v>
      </c>
      <c r="I37">
        <v>57</v>
      </c>
    </row>
    <row r="38" spans="1:9" x14ac:dyDescent="0.45">
      <c r="A38" t="s">
        <v>262</v>
      </c>
      <c r="B38" t="s">
        <v>263</v>
      </c>
      <c r="C38" t="s">
        <v>208</v>
      </c>
      <c r="D38" t="s">
        <v>209</v>
      </c>
      <c r="E38" t="s">
        <v>214</v>
      </c>
      <c r="F38" s="3">
        <v>20419.77</v>
      </c>
      <c r="G38" s="3">
        <v>15261.89</v>
      </c>
      <c r="H38" t="s">
        <v>229</v>
      </c>
      <c r="I38">
        <v>1</v>
      </c>
    </row>
    <row r="39" spans="1:9" x14ac:dyDescent="0.45">
      <c r="A39" t="s">
        <v>264</v>
      </c>
      <c r="B39" t="s">
        <v>265</v>
      </c>
      <c r="C39" t="s">
        <v>208</v>
      </c>
      <c r="D39" t="s">
        <v>217</v>
      </c>
      <c r="E39" t="s">
        <v>218</v>
      </c>
      <c r="F39" s="3">
        <v>12209.64</v>
      </c>
      <c r="G39" s="3">
        <v>8991.5499999999993</v>
      </c>
      <c r="H39" t="s">
        <v>175</v>
      </c>
      <c r="I39">
        <v>256</v>
      </c>
    </row>
    <row r="40" spans="1:9" x14ac:dyDescent="0.45">
      <c r="A40" t="s">
        <v>266</v>
      </c>
      <c r="B40" t="s">
        <v>267</v>
      </c>
      <c r="C40" t="s">
        <v>39</v>
      </c>
      <c r="D40" t="s">
        <v>221</v>
      </c>
      <c r="E40" t="s">
        <v>222</v>
      </c>
      <c r="F40" s="3">
        <v>9724.4500000000007</v>
      </c>
      <c r="G40" s="3">
        <v>6699.81</v>
      </c>
      <c r="H40" t="s">
        <v>268</v>
      </c>
      <c r="I40">
        <v>445</v>
      </c>
    </row>
    <row r="41" spans="1:9" x14ac:dyDescent="0.45">
      <c r="A41" t="s">
        <v>269</v>
      </c>
      <c r="B41" t="s">
        <v>270</v>
      </c>
      <c r="C41" t="s">
        <v>39</v>
      </c>
      <c r="D41" t="s">
        <v>225</v>
      </c>
      <c r="E41" t="s">
        <v>226</v>
      </c>
      <c r="F41" s="3">
        <v>35106.83</v>
      </c>
      <c r="G41" s="3">
        <v>26384.11</v>
      </c>
      <c r="H41" t="s">
        <v>271</v>
      </c>
      <c r="I41">
        <v>311</v>
      </c>
    </row>
    <row r="42" spans="1:9" x14ac:dyDescent="0.45">
      <c r="A42" t="s">
        <v>272</v>
      </c>
      <c r="B42" t="s">
        <v>273</v>
      </c>
      <c r="C42" t="s">
        <v>15</v>
      </c>
      <c r="D42" t="s">
        <v>32</v>
      </c>
      <c r="E42" t="s">
        <v>152</v>
      </c>
      <c r="F42" s="3">
        <v>1682.22</v>
      </c>
      <c r="G42" s="3">
        <v>1066.1199999999999</v>
      </c>
      <c r="H42" t="s">
        <v>180</v>
      </c>
      <c r="I42">
        <v>276</v>
      </c>
    </row>
    <row r="43" spans="1:9" x14ac:dyDescent="0.45">
      <c r="A43" t="s">
        <v>274</v>
      </c>
      <c r="B43" t="s">
        <v>275</v>
      </c>
      <c r="C43" t="s">
        <v>15</v>
      </c>
      <c r="D43" t="s">
        <v>32</v>
      </c>
      <c r="E43" t="s">
        <v>156</v>
      </c>
      <c r="F43" s="3">
        <v>8283.17</v>
      </c>
      <c r="G43" s="3">
        <v>5799.05</v>
      </c>
      <c r="H43" t="s">
        <v>238</v>
      </c>
      <c r="I43">
        <v>250</v>
      </c>
    </row>
    <row r="44" spans="1:9" x14ac:dyDescent="0.45">
      <c r="A44" t="s">
        <v>276</v>
      </c>
      <c r="B44" t="s">
        <v>277</v>
      </c>
      <c r="C44" t="s">
        <v>15</v>
      </c>
      <c r="D44" t="s">
        <v>160</v>
      </c>
      <c r="E44" t="s">
        <v>161</v>
      </c>
      <c r="F44" s="3">
        <v>72730.59</v>
      </c>
      <c r="G44" s="3">
        <v>58744.84</v>
      </c>
      <c r="H44" t="s">
        <v>202</v>
      </c>
      <c r="I44">
        <v>449</v>
      </c>
    </row>
    <row r="45" spans="1:9" x14ac:dyDescent="0.45">
      <c r="A45" t="s">
        <v>278</v>
      </c>
      <c r="B45" t="s">
        <v>279</v>
      </c>
      <c r="C45" t="s">
        <v>15</v>
      </c>
      <c r="D45" t="s">
        <v>160</v>
      </c>
      <c r="E45" t="s">
        <v>165</v>
      </c>
      <c r="F45" s="3">
        <v>89202.21</v>
      </c>
      <c r="G45" s="3">
        <v>72830.570000000007</v>
      </c>
      <c r="H45" t="s">
        <v>280</v>
      </c>
      <c r="I45">
        <v>449</v>
      </c>
    </row>
    <row r="46" spans="1:9" x14ac:dyDescent="0.45">
      <c r="A46" t="s">
        <v>281</v>
      </c>
      <c r="B46" t="s">
        <v>282</v>
      </c>
      <c r="C46" t="s">
        <v>15</v>
      </c>
      <c r="D46" t="s">
        <v>168</v>
      </c>
      <c r="E46" t="s">
        <v>169</v>
      </c>
      <c r="F46" s="3">
        <v>27271.200000000001</v>
      </c>
      <c r="G46" s="3">
        <v>21106.46</v>
      </c>
      <c r="H46" t="s">
        <v>211</v>
      </c>
      <c r="I46">
        <v>374</v>
      </c>
    </row>
    <row r="47" spans="1:9" x14ac:dyDescent="0.45">
      <c r="A47" t="s">
        <v>283</v>
      </c>
      <c r="B47" t="s">
        <v>284</v>
      </c>
      <c r="C47" t="s">
        <v>15</v>
      </c>
      <c r="D47" t="s">
        <v>168</v>
      </c>
      <c r="E47" t="s">
        <v>172</v>
      </c>
      <c r="F47" s="3">
        <v>18803.330000000002</v>
      </c>
      <c r="G47" s="3">
        <v>14220.91</v>
      </c>
      <c r="H47" t="s">
        <v>162</v>
      </c>
      <c r="I47">
        <v>392</v>
      </c>
    </row>
    <row r="48" spans="1:9" x14ac:dyDescent="0.45">
      <c r="A48" t="s">
        <v>285</v>
      </c>
      <c r="B48" t="s">
        <v>286</v>
      </c>
      <c r="C48" t="s">
        <v>15</v>
      </c>
      <c r="D48" t="s">
        <v>32</v>
      </c>
      <c r="E48" t="s">
        <v>165</v>
      </c>
      <c r="F48" s="3">
        <v>13442.14</v>
      </c>
      <c r="G48" s="3">
        <v>9634.33</v>
      </c>
      <c r="H48" t="s">
        <v>287</v>
      </c>
      <c r="I48">
        <v>281</v>
      </c>
    </row>
    <row r="49" spans="1:9" x14ac:dyDescent="0.45">
      <c r="A49" t="s">
        <v>288</v>
      </c>
      <c r="B49" t="s">
        <v>289</v>
      </c>
      <c r="C49" t="s">
        <v>15</v>
      </c>
      <c r="D49" t="s">
        <v>178</v>
      </c>
      <c r="E49" t="s">
        <v>179</v>
      </c>
      <c r="F49" s="3">
        <v>28278.98</v>
      </c>
      <c r="G49" s="3">
        <v>22058.49</v>
      </c>
      <c r="H49" t="s">
        <v>245</v>
      </c>
      <c r="I49">
        <v>108</v>
      </c>
    </row>
    <row r="50" spans="1:9" x14ac:dyDescent="0.45">
      <c r="A50" t="s">
        <v>290</v>
      </c>
      <c r="B50" t="s">
        <v>291</v>
      </c>
      <c r="C50" t="s">
        <v>15</v>
      </c>
      <c r="D50" t="s">
        <v>32</v>
      </c>
      <c r="E50" t="s">
        <v>152</v>
      </c>
      <c r="F50" s="3">
        <v>7021.36</v>
      </c>
      <c r="G50" s="3">
        <v>4564.6400000000003</v>
      </c>
      <c r="H50" t="s">
        <v>292</v>
      </c>
      <c r="I50">
        <v>365</v>
      </c>
    </row>
    <row r="51" spans="1:9" x14ac:dyDescent="0.45">
      <c r="A51" t="s">
        <v>293</v>
      </c>
      <c r="B51" t="s">
        <v>294</v>
      </c>
      <c r="C51" t="s">
        <v>15</v>
      </c>
      <c r="D51" t="s">
        <v>185</v>
      </c>
      <c r="E51" t="s">
        <v>169</v>
      </c>
      <c r="F51" s="3">
        <v>10276.129999999999</v>
      </c>
      <c r="G51" s="3">
        <v>7765.05</v>
      </c>
      <c r="H51" t="s">
        <v>202</v>
      </c>
      <c r="I51">
        <v>224</v>
      </c>
    </row>
    <row r="52" spans="1:9" x14ac:dyDescent="0.45">
      <c r="A52" t="s">
        <v>295</v>
      </c>
      <c r="B52" t="s">
        <v>296</v>
      </c>
      <c r="C52" t="s">
        <v>26</v>
      </c>
      <c r="D52" t="s">
        <v>189</v>
      </c>
      <c r="E52" t="s">
        <v>190</v>
      </c>
      <c r="F52" s="3">
        <v>21775.11</v>
      </c>
      <c r="G52" s="3">
        <v>15128.77</v>
      </c>
      <c r="H52" t="s">
        <v>280</v>
      </c>
      <c r="I52">
        <v>115</v>
      </c>
    </row>
    <row r="53" spans="1:9" x14ac:dyDescent="0.45">
      <c r="A53" t="s">
        <v>297</v>
      </c>
      <c r="B53" t="s">
        <v>298</v>
      </c>
      <c r="C53" t="s">
        <v>26</v>
      </c>
      <c r="D53" t="s">
        <v>189</v>
      </c>
      <c r="E53" t="s">
        <v>193</v>
      </c>
      <c r="F53" s="3">
        <v>31836.17</v>
      </c>
      <c r="G53" s="3">
        <v>22513.53</v>
      </c>
      <c r="H53" t="s">
        <v>162</v>
      </c>
      <c r="I53">
        <v>117</v>
      </c>
    </row>
    <row r="54" spans="1:9" x14ac:dyDescent="0.45">
      <c r="A54" t="s">
        <v>299</v>
      </c>
      <c r="B54" t="s">
        <v>300</v>
      </c>
      <c r="C54" t="s">
        <v>26</v>
      </c>
      <c r="D54" t="s">
        <v>196</v>
      </c>
      <c r="E54" t="s">
        <v>197</v>
      </c>
      <c r="F54" s="3">
        <v>39465.480000000003</v>
      </c>
      <c r="G54" s="3">
        <v>28190.43</v>
      </c>
      <c r="H54" t="s">
        <v>211</v>
      </c>
      <c r="I54">
        <v>362</v>
      </c>
    </row>
    <row r="55" spans="1:9" x14ac:dyDescent="0.45">
      <c r="A55" t="s">
        <v>301</v>
      </c>
      <c r="B55" t="s">
        <v>302</v>
      </c>
      <c r="C55" t="s">
        <v>26</v>
      </c>
      <c r="D55" t="s">
        <v>196</v>
      </c>
      <c r="E55" t="s">
        <v>201</v>
      </c>
      <c r="F55" s="3">
        <v>18948.95</v>
      </c>
      <c r="G55" s="3">
        <v>13265.05</v>
      </c>
      <c r="H55" t="s">
        <v>211</v>
      </c>
      <c r="I55">
        <v>16</v>
      </c>
    </row>
    <row r="56" spans="1:9" x14ac:dyDescent="0.45">
      <c r="A56" t="s">
        <v>303</v>
      </c>
      <c r="B56" t="s">
        <v>304</v>
      </c>
      <c r="C56" t="s">
        <v>26</v>
      </c>
      <c r="D56" t="s">
        <v>185</v>
      </c>
      <c r="E56" t="s">
        <v>201</v>
      </c>
      <c r="F56" s="3">
        <v>14502.58</v>
      </c>
      <c r="G56" s="3">
        <v>9817.8799999999992</v>
      </c>
      <c r="H56" t="s">
        <v>280</v>
      </c>
      <c r="I56">
        <v>142</v>
      </c>
    </row>
    <row r="57" spans="1:9" x14ac:dyDescent="0.45">
      <c r="A57" t="s">
        <v>305</v>
      </c>
      <c r="B57" t="s">
        <v>306</v>
      </c>
      <c r="C57" t="s">
        <v>208</v>
      </c>
      <c r="D57" t="s">
        <v>209</v>
      </c>
      <c r="E57" t="s">
        <v>210</v>
      </c>
      <c r="F57" s="3">
        <v>25273.18</v>
      </c>
      <c r="G57" s="3">
        <v>19530.16</v>
      </c>
      <c r="H57" t="s">
        <v>162</v>
      </c>
      <c r="I57">
        <v>67</v>
      </c>
    </row>
    <row r="58" spans="1:9" x14ac:dyDescent="0.45">
      <c r="A58" t="s">
        <v>307</v>
      </c>
      <c r="B58" t="s">
        <v>308</v>
      </c>
      <c r="C58" t="s">
        <v>208</v>
      </c>
      <c r="D58" t="s">
        <v>209</v>
      </c>
      <c r="E58" t="s">
        <v>214</v>
      </c>
      <c r="F58" s="3">
        <v>22510.799999999999</v>
      </c>
      <c r="G58" s="3">
        <v>16824.740000000002</v>
      </c>
      <c r="H58" t="s">
        <v>287</v>
      </c>
      <c r="I58">
        <v>124</v>
      </c>
    </row>
    <row r="59" spans="1:9" x14ac:dyDescent="0.45">
      <c r="A59" t="s">
        <v>309</v>
      </c>
      <c r="B59" t="s">
        <v>310</v>
      </c>
      <c r="C59" t="s">
        <v>208</v>
      </c>
      <c r="D59" t="s">
        <v>217</v>
      </c>
      <c r="E59" t="s">
        <v>218</v>
      </c>
      <c r="F59" s="3">
        <v>12919.42</v>
      </c>
      <c r="G59" s="3">
        <v>9514.26</v>
      </c>
      <c r="H59" t="s">
        <v>292</v>
      </c>
      <c r="I59">
        <v>48</v>
      </c>
    </row>
    <row r="60" spans="1:9" x14ac:dyDescent="0.45">
      <c r="A60" t="s">
        <v>311</v>
      </c>
      <c r="B60" t="s">
        <v>312</v>
      </c>
      <c r="C60" t="s">
        <v>39</v>
      </c>
      <c r="D60" t="s">
        <v>221</v>
      </c>
      <c r="E60" t="s">
        <v>222</v>
      </c>
      <c r="F60" s="3">
        <v>10463.299999999999</v>
      </c>
      <c r="G60" s="3">
        <v>7208.86</v>
      </c>
      <c r="H60" t="s">
        <v>202</v>
      </c>
      <c r="I60">
        <v>216</v>
      </c>
    </row>
    <row r="61" spans="1:9" x14ac:dyDescent="0.45">
      <c r="A61" t="s">
        <v>313</v>
      </c>
      <c r="B61" t="s">
        <v>314</v>
      </c>
      <c r="C61" t="s">
        <v>39</v>
      </c>
      <c r="D61" t="s">
        <v>225</v>
      </c>
      <c r="E61" t="s">
        <v>226</v>
      </c>
      <c r="F61" s="3">
        <v>37861.800000000003</v>
      </c>
      <c r="G61" s="3">
        <v>28454.58</v>
      </c>
      <c r="H61" t="s">
        <v>205</v>
      </c>
      <c r="I61">
        <v>344</v>
      </c>
    </row>
    <row r="62" spans="1:9" x14ac:dyDescent="0.45">
      <c r="A62" t="s">
        <v>315</v>
      </c>
      <c r="B62" t="s">
        <v>316</v>
      </c>
      <c r="C62" t="s">
        <v>15</v>
      </c>
      <c r="D62" t="s">
        <v>32</v>
      </c>
      <c r="E62" t="s">
        <v>152</v>
      </c>
      <c r="F62" s="3">
        <v>1886.84</v>
      </c>
      <c r="G62" s="3">
        <v>1195.8</v>
      </c>
      <c r="H62" t="s">
        <v>268</v>
      </c>
      <c r="I62">
        <v>31</v>
      </c>
    </row>
    <row r="63" spans="1:9" x14ac:dyDescent="0.45">
      <c r="A63" t="s">
        <v>317</v>
      </c>
      <c r="B63" t="s">
        <v>318</v>
      </c>
      <c r="C63" t="s">
        <v>15</v>
      </c>
      <c r="D63" t="s">
        <v>32</v>
      </c>
      <c r="E63" t="s">
        <v>156</v>
      </c>
      <c r="F63" s="3">
        <v>8666.56</v>
      </c>
      <c r="G63" s="3">
        <v>6067.46</v>
      </c>
      <c r="H63" t="s">
        <v>268</v>
      </c>
      <c r="I63">
        <v>127</v>
      </c>
    </row>
    <row r="64" spans="1:9" x14ac:dyDescent="0.45">
      <c r="A64" t="s">
        <v>319</v>
      </c>
      <c r="B64" t="s">
        <v>320</v>
      </c>
      <c r="C64" t="s">
        <v>15</v>
      </c>
      <c r="D64" t="s">
        <v>160</v>
      </c>
      <c r="E64" t="s">
        <v>161</v>
      </c>
      <c r="F64" s="3">
        <v>77687.89</v>
      </c>
      <c r="G64" s="3">
        <v>62748.88</v>
      </c>
      <c r="H64" t="s">
        <v>229</v>
      </c>
      <c r="I64">
        <v>71</v>
      </c>
    </row>
    <row r="65" spans="1:9" x14ac:dyDescent="0.45">
      <c r="A65" t="s">
        <v>321</v>
      </c>
      <c r="B65" t="s">
        <v>322</v>
      </c>
      <c r="C65" t="s">
        <v>15</v>
      </c>
      <c r="D65" t="s">
        <v>160</v>
      </c>
      <c r="E65" t="s">
        <v>165</v>
      </c>
      <c r="F65" s="3">
        <v>94378.45</v>
      </c>
      <c r="G65" s="3">
        <v>77056.800000000003</v>
      </c>
      <c r="H65" t="s">
        <v>229</v>
      </c>
      <c r="I65">
        <v>127</v>
      </c>
    </row>
    <row r="66" spans="1:9" x14ac:dyDescent="0.45">
      <c r="A66" t="s">
        <v>323</v>
      </c>
      <c r="B66" t="s">
        <v>324</v>
      </c>
      <c r="C66" t="s">
        <v>15</v>
      </c>
      <c r="D66" t="s">
        <v>168</v>
      </c>
      <c r="E66" t="s">
        <v>169</v>
      </c>
      <c r="F66" s="3">
        <v>27954.15</v>
      </c>
      <c r="G66" s="3">
        <v>21635.02</v>
      </c>
      <c r="H66" t="s">
        <v>162</v>
      </c>
      <c r="I66">
        <v>50</v>
      </c>
    </row>
    <row r="67" spans="1:9" x14ac:dyDescent="0.45">
      <c r="A67" t="s">
        <v>325</v>
      </c>
      <c r="B67" t="s">
        <v>326</v>
      </c>
      <c r="C67" t="s">
        <v>15</v>
      </c>
      <c r="D67" t="s">
        <v>168</v>
      </c>
      <c r="E67" t="s">
        <v>172</v>
      </c>
      <c r="F67" s="3">
        <v>19713.509999999998</v>
      </c>
      <c r="G67" s="3">
        <v>14909.28</v>
      </c>
      <c r="H67" t="s">
        <v>162</v>
      </c>
      <c r="I67">
        <v>428</v>
      </c>
    </row>
    <row r="68" spans="1:9" x14ac:dyDescent="0.45">
      <c r="A68" t="s">
        <v>327</v>
      </c>
      <c r="B68" t="s">
        <v>328</v>
      </c>
      <c r="C68" t="s">
        <v>15</v>
      </c>
      <c r="D68" t="s">
        <v>32</v>
      </c>
      <c r="E68" t="s">
        <v>165</v>
      </c>
      <c r="F68" s="3">
        <v>15088.98</v>
      </c>
      <c r="G68" s="3">
        <v>10814.67</v>
      </c>
      <c r="H68" t="s">
        <v>280</v>
      </c>
      <c r="I68">
        <v>85</v>
      </c>
    </row>
    <row r="69" spans="1:9" x14ac:dyDescent="0.45">
      <c r="A69" t="s">
        <v>329</v>
      </c>
      <c r="B69" t="s">
        <v>330</v>
      </c>
      <c r="C69" t="s">
        <v>15</v>
      </c>
      <c r="D69" t="s">
        <v>178</v>
      </c>
      <c r="E69" t="s">
        <v>179</v>
      </c>
      <c r="F69" s="3">
        <v>30470.06</v>
      </c>
      <c r="G69" s="3">
        <v>23767.599999999999</v>
      </c>
      <c r="H69" t="s">
        <v>292</v>
      </c>
      <c r="I69">
        <v>442</v>
      </c>
    </row>
    <row r="70" spans="1:9" x14ac:dyDescent="0.45">
      <c r="A70" t="s">
        <v>331</v>
      </c>
      <c r="B70" t="s">
        <v>332</v>
      </c>
      <c r="C70" t="s">
        <v>15</v>
      </c>
      <c r="D70" t="s">
        <v>32</v>
      </c>
      <c r="E70" t="s">
        <v>152</v>
      </c>
      <c r="F70" s="3">
        <v>7511.92</v>
      </c>
      <c r="G70" s="3">
        <v>4883.5600000000004</v>
      </c>
      <c r="H70" t="s">
        <v>180</v>
      </c>
      <c r="I70">
        <v>194</v>
      </c>
    </row>
    <row r="71" spans="1:9" x14ac:dyDescent="0.45">
      <c r="A71" t="s">
        <v>333</v>
      </c>
      <c r="B71" t="s">
        <v>334</v>
      </c>
      <c r="C71" t="s">
        <v>15</v>
      </c>
      <c r="D71" t="s">
        <v>185</v>
      </c>
      <c r="E71" t="s">
        <v>169</v>
      </c>
      <c r="F71" s="3">
        <v>11328.16</v>
      </c>
      <c r="G71" s="3">
        <v>8560.01</v>
      </c>
      <c r="H71" t="s">
        <v>175</v>
      </c>
      <c r="I71">
        <v>401</v>
      </c>
    </row>
    <row r="72" spans="1:9" x14ac:dyDescent="0.45">
      <c r="A72" t="s">
        <v>335</v>
      </c>
      <c r="B72" t="s">
        <v>336</v>
      </c>
      <c r="C72" t="s">
        <v>26</v>
      </c>
      <c r="D72" t="s">
        <v>189</v>
      </c>
      <c r="E72" t="s">
        <v>190</v>
      </c>
      <c r="F72" s="3">
        <v>22852.38</v>
      </c>
      <c r="G72" s="3">
        <v>15877.22</v>
      </c>
      <c r="H72" t="s">
        <v>162</v>
      </c>
      <c r="I72">
        <v>338</v>
      </c>
    </row>
    <row r="73" spans="1:9" x14ac:dyDescent="0.45">
      <c r="A73" t="s">
        <v>337</v>
      </c>
      <c r="B73" t="s">
        <v>338</v>
      </c>
      <c r="C73" t="s">
        <v>26</v>
      </c>
      <c r="D73" t="s">
        <v>189</v>
      </c>
      <c r="E73" t="s">
        <v>193</v>
      </c>
      <c r="F73" s="3">
        <v>34128.93</v>
      </c>
      <c r="G73" s="3">
        <v>24134.89</v>
      </c>
      <c r="H73" t="s">
        <v>292</v>
      </c>
      <c r="I73">
        <v>151</v>
      </c>
    </row>
    <row r="74" spans="1:9" x14ac:dyDescent="0.45">
      <c r="A74" t="s">
        <v>339</v>
      </c>
      <c r="B74" t="s">
        <v>340</v>
      </c>
      <c r="C74" t="s">
        <v>26</v>
      </c>
      <c r="D74" t="s">
        <v>196</v>
      </c>
      <c r="E74" t="s">
        <v>197</v>
      </c>
      <c r="F74" s="3">
        <v>44011.13</v>
      </c>
      <c r="G74" s="3">
        <v>31437.42</v>
      </c>
      <c r="H74" t="s">
        <v>162</v>
      </c>
      <c r="I74">
        <v>31</v>
      </c>
    </row>
    <row r="75" spans="1:9" x14ac:dyDescent="0.45">
      <c r="A75" t="s">
        <v>341</v>
      </c>
      <c r="B75" t="s">
        <v>342</v>
      </c>
      <c r="C75" t="s">
        <v>26</v>
      </c>
      <c r="D75" t="s">
        <v>196</v>
      </c>
      <c r="E75" t="s">
        <v>201</v>
      </c>
      <c r="F75" s="3">
        <v>20485.3</v>
      </c>
      <c r="G75" s="3">
        <v>14340.55</v>
      </c>
      <c r="H75" t="s">
        <v>205</v>
      </c>
      <c r="I75">
        <v>299</v>
      </c>
    </row>
    <row r="76" spans="1:9" x14ac:dyDescent="0.45">
      <c r="A76" t="s">
        <v>343</v>
      </c>
      <c r="B76" t="s">
        <v>344</v>
      </c>
      <c r="C76" t="s">
        <v>26</v>
      </c>
      <c r="D76" t="s">
        <v>185</v>
      </c>
      <c r="E76" t="s">
        <v>201</v>
      </c>
      <c r="F76" s="3">
        <v>15861.74</v>
      </c>
      <c r="G76" s="3">
        <v>10738.01</v>
      </c>
      <c r="H76" t="s">
        <v>271</v>
      </c>
      <c r="I76">
        <v>80</v>
      </c>
    </row>
    <row r="77" spans="1:9" x14ac:dyDescent="0.45">
      <c r="A77" t="s">
        <v>345</v>
      </c>
      <c r="B77" t="s">
        <v>346</v>
      </c>
      <c r="C77" t="s">
        <v>208</v>
      </c>
      <c r="D77" t="s">
        <v>209</v>
      </c>
      <c r="E77" t="s">
        <v>210</v>
      </c>
      <c r="F77" s="3">
        <v>27649.71</v>
      </c>
      <c r="G77" s="3">
        <v>21366.66</v>
      </c>
      <c r="H77" t="s">
        <v>211</v>
      </c>
      <c r="I77">
        <v>435</v>
      </c>
    </row>
    <row r="78" spans="1:9" x14ac:dyDescent="0.45">
      <c r="A78" t="s">
        <v>347</v>
      </c>
      <c r="B78" t="s">
        <v>348</v>
      </c>
      <c r="C78" t="s">
        <v>208</v>
      </c>
      <c r="D78" t="s">
        <v>209</v>
      </c>
      <c r="E78" t="s">
        <v>214</v>
      </c>
      <c r="F78" s="3">
        <v>22522.97</v>
      </c>
      <c r="G78" s="3">
        <v>16833.84</v>
      </c>
      <c r="H78" t="s">
        <v>211</v>
      </c>
      <c r="I78">
        <v>345</v>
      </c>
    </row>
    <row r="79" spans="1:9" x14ac:dyDescent="0.45">
      <c r="A79" t="s">
        <v>349</v>
      </c>
      <c r="B79" t="s">
        <v>350</v>
      </c>
      <c r="C79" t="s">
        <v>208</v>
      </c>
      <c r="D79" t="s">
        <v>217</v>
      </c>
      <c r="E79" t="s">
        <v>218</v>
      </c>
      <c r="F79" s="3">
        <v>13334.11</v>
      </c>
      <c r="G79" s="3">
        <v>9819.65</v>
      </c>
      <c r="H79" t="s">
        <v>280</v>
      </c>
      <c r="I79">
        <v>296</v>
      </c>
    </row>
    <row r="80" spans="1:9" x14ac:dyDescent="0.45">
      <c r="A80" t="s">
        <v>351</v>
      </c>
      <c r="B80" t="s">
        <v>352</v>
      </c>
      <c r="C80" t="s">
        <v>39</v>
      </c>
      <c r="D80" t="s">
        <v>221</v>
      </c>
      <c r="E80" t="s">
        <v>222</v>
      </c>
      <c r="F80" s="3">
        <v>10647.43</v>
      </c>
      <c r="G80" s="3">
        <v>7335.71</v>
      </c>
      <c r="H80" t="s">
        <v>211</v>
      </c>
      <c r="I80">
        <v>214</v>
      </c>
    </row>
    <row r="81" spans="1:9" x14ac:dyDescent="0.45">
      <c r="A81" t="s">
        <v>353</v>
      </c>
      <c r="B81" t="s">
        <v>354</v>
      </c>
      <c r="C81" t="s">
        <v>39</v>
      </c>
      <c r="D81" t="s">
        <v>225</v>
      </c>
      <c r="E81" t="s">
        <v>226</v>
      </c>
      <c r="F81" s="3">
        <v>40479.67</v>
      </c>
      <c r="G81" s="3">
        <v>30422.01</v>
      </c>
      <c r="H81" t="s">
        <v>271</v>
      </c>
      <c r="I81">
        <v>161</v>
      </c>
    </row>
  </sheetData>
  <conditionalFormatting sqref="F2:F8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{B77F8280-223D-4FB6-8D1B-E96ABA0B50E7}</x14:id>
        </ext>
      </extLst>
    </cfRule>
  </conditionalFormatting>
  <conditionalFormatting sqref="G2:G81">
    <cfRule type="aboveAverage" dxfId="5" priority="3" aboveAverage="0"/>
  </conditionalFormatting>
  <conditionalFormatting sqref="I2:I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I81">
    <cfRule type="expression" dxfId="4" priority="1">
      <formula>AND($F2&gt;10000,$I2&gt;100)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7F8280-223D-4FB6-8D1B-E96ABA0B5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F2:F81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B905-1F7D-427A-8914-8A3F392127B3}">
  <dimension ref="B2:B14"/>
  <sheetViews>
    <sheetView zoomScale="220" zoomScaleNormal="220" workbookViewId="0">
      <selection activeCell="B15" sqref="B15"/>
    </sheetView>
  </sheetViews>
  <sheetFormatPr defaultRowHeight="14.25" x14ac:dyDescent="0.45"/>
  <sheetData>
    <row r="2" spans="2:2" x14ac:dyDescent="0.45">
      <c r="B2" t="s">
        <v>135</v>
      </c>
    </row>
    <row r="3" spans="2:2" x14ac:dyDescent="0.45">
      <c r="B3" t="s">
        <v>136</v>
      </c>
    </row>
    <row r="5" spans="2:2" x14ac:dyDescent="0.45">
      <c r="B5" t="s">
        <v>137</v>
      </c>
    </row>
    <row r="6" spans="2:2" x14ac:dyDescent="0.45">
      <c r="B6" t="s">
        <v>138</v>
      </c>
    </row>
    <row r="7" spans="2:2" x14ac:dyDescent="0.45">
      <c r="B7" t="s">
        <v>139</v>
      </c>
    </row>
    <row r="8" spans="2:2" x14ac:dyDescent="0.45">
      <c r="B8" t="s">
        <v>140</v>
      </c>
    </row>
    <row r="10" spans="2:2" x14ac:dyDescent="0.45">
      <c r="B10" s="4" t="s">
        <v>359</v>
      </c>
    </row>
    <row r="11" spans="2:2" x14ac:dyDescent="0.45">
      <c r="B11" t="s">
        <v>357</v>
      </c>
    </row>
    <row r="12" spans="2:2" x14ac:dyDescent="0.45">
      <c r="B12" t="s">
        <v>358</v>
      </c>
    </row>
    <row r="13" spans="2:2" x14ac:dyDescent="0.45">
      <c r="B13" t="s">
        <v>360</v>
      </c>
    </row>
    <row r="14" spans="2:2" x14ac:dyDescent="0.45">
      <c r="B14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YADAV</cp:lastModifiedBy>
  <dcterms:created xsi:type="dcterms:W3CDTF">2026-07-18T12:19:09Z</dcterms:created>
  <dcterms:modified xsi:type="dcterms:W3CDTF">2026-07-18T17:09:12Z</dcterms:modified>
</cp:coreProperties>
</file>