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13_ncr:1_{B85AB380-B95B-42BC-8E66-63C2951A122F}" xr6:coauthVersionLast="47" xr6:coauthVersionMax="47" xr10:uidLastSave="{00000000-0000-0000-0000-000000000000}"/>
  <bookViews>
    <workbookView xWindow="34452" yWindow="-108" windowWidth="23256" windowHeight="13176" xr2:uid="{00000000-000D-0000-FFFF-FFFF00000000}"/>
  </bookViews>
  <sheets>
    <sheet name="Sheet1" sheetId="2" r:id="rId1"/>
    <sheet name="Filter" sheetId="3" r:id="rId2"/>
    <sheet name="Combine_Dynamic Funcitons" sheetId="6" r:id="rId3"/>
    <sheet name="UNIQUE" sheetId="5" r:id="rId4"/>
    <sheet name="Sorting" sheetId="4" r:id="rId5"/>
  </sheets>
  <definedNames>
    <definedName name="_xlnm._FilterDatabase" localSheetId="1" hidden="1">Filter!$A$1:$I$101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6" l="1" a="1"/>
  <c r="K20" i="6" s="1"/>
  <c r="K12" i="6" a="1"/>
  <c r="K12" i="6" s="1"/>
  <c r="K4" i="6" a="1"/>
  <c r="K4" i="6" s="1"/>
  <c r="G74" i="2" a="1"/>
  <c r="G74" i="2" s="1"/>
  <c r="F74" i="2" a="1"/>
  <c r="F74" i="2" s="1"/>
  <c r="L24" i="5" a="1"/>
  <c r="L24" i="5" s="1"/>
  <c r="L17" i="5" a="1"/>
  <c r="L17" i="5" s="1"/>
  <c r="L10" i="5" a="1"/>
  <c r="L10" i="5" s="1"/>
  <c r="K22" i="4" a="1"/>
  <c r="K22" i="4" s="1"/>
  <c r="A21" i="4" a="1"/>
  <c r="A21" i="4" s="1"/>
  <c r="K5" i="4" a="1"/>
  <c r="K5" i="4" s="1"/>
  <c r="M33" i="3" a="1"/>
  <c r="M33" i="3" s="1"/>
  <c r="M6" i="3" a="1"/>
  <c r="M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<sst xmlns="http://schemas.openxmlformats.org/spreadsheetml/2006/main" count="1334" uniqueCount="242">
  <si>
    <t>Product</t>
  </si>
  <si>
    <t>Order Date</t>
  </si>
  <si>
    <t>Revenue</t>
  </si>
  <si>
    <t>Office Chair</t>
  </si>
  <si>
    <t>Mouse</t>
  </si>
  <si>
    <t>Router</t>
  </si>
  <si>
    <t xml:space="preserve">Static </t>
  </si>
  <si>
    <t>Dynamic</t>
  </si>
  <si>
    <t>The value is constant</t>
  </si>
  <si>
    <t>The value keeps changing (variable)</t>
  </si>
  <si>
    <t>x+y=10</t>
  </si>
  <si>
    <t>1,9;2,8;3,7;6,4;5,5</t>
  </si>
  <si>
    <t>5+5=10</t>
  </si>
  <si>
    <t>There are infinite possibilities for x+y = 10 for the values of x and y</t>
  </si>
  <si>
    <t>X &amp; y are dynamic functions (They are varying)</t>
  </si>
  <si>
    <t>0.001+9.009</t>
  </si>
  <si>
    <t>1. What are dynamic Arrays?</t>
  </si>
  <si>
    <t>Dynamic array functions return multiple values from one formula, and excel automatically fills the extra cells.</t>
  </si>
  <si>
    <t>This automatic filling is called spill</t>
  </si>
  <si>
    <t>Spill Operator(#)</t>
  </si>
  <si>
    <t>If you try to write =A2#, excel refers to the entire spilled range</t>
  </si>
  <si>
    <t>Order ID</t>
  </si>
  <si>
    <t>Region</t>
  </si>
  <si>
    <t>Salesperson</t>
  </si>
  <si>
    <t>Product Category</t>
  </si>
  <si>
    <t>Units Sold</t>
  </si>
  <si>
    <t>Unit Price</t>
  </si>
  <si>
    <t>ORD-100001</t>
  </si>
  <si>
    <t>North</t>
  </si>
  <si>
    <t>Rahul</t>
  </si>
  <si>
    <t>Electronics</t>
  </si>
  <si>
    <t>Laptop</t>
  </si>
  <si>
    <t>ORD-100002</t>
  </si>
  <si>
    <t>South</t>
  </si>
  <si>
    <t>Priya</t>
  </si>
  <si>
    <t>Monitor</t>
  </si>
  <si>
    <t>ORD-100003</t>
  </si>
  <si>
    <t>East</t>
  </si>
  <si>
    <t>Amit</t>
  </si>
  <si>
    <t>Furniture</t>
  </si>
  <si>
    <t>ORD-100004</t>
  </si>
  <si>
    <t>West</t>
  </si>
  <si>
    <t>Sneha</t>
  </si>
  <si>
    <t>Accessories</t>
  </si>
  <si>
    <t>Keyboard</t>
  </si>
  <si>
    <t>ORD-100005</t>
  </si>
  <si>
    <t>Karan</t>
  </si>
  <si>
    <t>ORD-100006</t>
  </si>
  <si>
    <t>Neha</t>
  </si>
  <si>
    <t>Networking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</si>
  <si>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</si>
  <si>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</si>
  <si>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</si>
  <si>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</si>
  <si>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</si>
  <si>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</si>
  <si>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</si>
  <si>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</si>
  <si>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</si>
  <si>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</si>
  <si>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</si>
  <si>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</si>
  <si>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</si>
  <si>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</si>
  <si>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</si>
  <si>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</si>
  <si>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</si>
  <si>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</si>
  <si>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</si>
  <si>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</si>
  <si>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</si>
  <si>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</si>
  <si>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</si>
  <si>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</si>
  <si>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</si>
  <si>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</si>
  <si>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</si>
  <si>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</si>
  <si>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</si>
  <si>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</si>
  <si>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</si>
  <si>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</si>
  <si>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</si>
  <si>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</si>
  <si>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</si>
  <si>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</si>
  <si>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</si>
  <si>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</si>
  <si>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</si>
  <si>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</si>
  <si>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</si>
  <si>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</si>
  <si>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</si>
  <si>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</si>
  <si>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</si>
  <si>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</si>
  <si>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</si>
  <si>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</si>
  <si>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</si>
  <si>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</si>
  <si>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</si>
  <si>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</si>
  <si>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</si>
  <si>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</si>
  <si>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</si>
  <si>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</si>
  <si>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</si>
  <si>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</si>
  <si>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</si>
  <si>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</si>
  <si>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</si>
  <si>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</si>
  <si>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</si>
  <si>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</si>
  <si>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</si>
  <si>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</si>
  <si>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</si>
  <si>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</si>
  <si>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</si>
  <si>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</si>
  <si>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</si>
  <si>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</si>
  <si>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</si>
  <si>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</si>
  <si>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</si>
  <si>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</si>
  <si>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</si>
  <si>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</si>
  <si>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</si>
  <si>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</si>
  <si>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</si>
  <si>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</si>
  <si>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</si>
  <si>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</si>
  <si>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</si>
  <si>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</si>
  <si>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</si>
  <si>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</si>
  <si>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</si>
  <si>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</si>
  <si>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</si>
  <si>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</si>
  <si>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</si>
  <si>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</si>
  <si>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One of the example is SEQUENCE</t>
  </si>
  <si>
    <t>List numbers from 1 to hundred with gap of 2 in each</t>
  </si>
  <si>
    <t>2. FILTER FUNCTION:</t>
  </si>
  <si>
    <t>Return only the rows that match your condition</t>
  </si>
  <si>
    <t>Syntax: =FILTER(array, include,[if_empty])</t>
  </si>
  <si>
    <t>Find all the records with the region as North</t>
  </si>
  <si>
    <t>Business Examples:</t>
  </si>
  <si>
    <t>Show all records from a particular region</t>
  </si>
  <si>
    <t>Show all the Electroninc items, loans, debit amount</t>
  </si>
  <si>
    <t>Show customers with specific rating</t>
  </si>
  <si>
    <t>Show revenue with a given criteria</t>
  </si>
  <si>
    <t>Find all the matching records whose revenue is greater than 1,00,000</t>
  </si>
  <si>
    <t>3. SORT Function:</t>
  </si>
  <si>
    <t>Sorts data dynamically without touching the original dataset</t>
  </si>
  <si>
    <t>Syntax: =SORT(array,[sort_index],[sort_order]</t>
  </si>
  <si>
    <t>Sort the items by units sold to highlight the most selling products</t>
  </si>
  <si>
    <t>Business Uses:</t>
  </si>
  <si>
    <t>Top 10 revenue</t>
  </si>
  <si>
    <t>Top profit %</t>
  </si>
  <si>
    <t>Rank salesperson</t>
  </si>
  <si>
    <t>Sorted dashboard tables</t>
  </si>
  <si>
    <t>sort the products alphabetically</t>
  </si>
  <si>
    <t>4. SORTBY Function:</t>
  </si>
  <si>
    <t>It sorts one range based on another range</t>
  </si>
  <si>
    <t>Syntax: =SORTBY(array,by_array,[sort_order])</t>
  </si>
  <si>
    <t>SORT the products with revenue</t>
  </si>
  <si>
    <t>Rank Products by profit</t>
  </si>
  <si>
    <t>Rank regions by revenue</t>
  </si>
  <si>
    <t>Rank employees by performance</t>
  </si>
  <si>
    <t>5. UNIQUE Function</t>
  </si>
  <si>
    <t>It returns the distinct values automatically</t>
  </si>
  <si>
    <t>UNIQUE is like saying - duplicate hatao, sirf asli value dikhao</t>
  </si>
  <si>
    <t>Syntax: =UNIQUE(array,[by_col],[Exactly_once])</t>
  </si>
  <si>
    <t>Find the Unique Salesperson who have placed their order</t>
  </si>
  <si>
    <t>How many regions are there</t>
  </si>
  <si>
    <t>How many unique product  are there</t>
  </si>
  <si>
    <t>Unique product list</t>
  </si>
  <si>
    <t>Unique Customer list</t>
  </si>
  <si>
    <t>Unique regions</t>
  </si>
  <si>
    <t>Unique departments</t>
  </si>
  <si>
    <t>Why is UNIQUE better than remove duplicates</t>
  </si>
  <si>
    <t>UNIQUE is dynamic and doesn't change the original data</t>
  </si>
  <si>
    <t>6. SEQUENCE Function</t>
  </si>
  <si>
    <t>It creates a list of numbers automatically</t>
  </si>
  <si>
    <t>SYNTAX: =SEQUENCE(rows,[columns],[start],[step])</t>
  </si>
  <si>
    <t>Business Usecases:</t>
  </si>
  <si>
    <t>Invoice numbers</t>
  </si>
  <si>
    <t>Serial numbers</t>
  </si>
  <si>
    <t>Row numbering</t>
  </si>
  <si>
    <t>Dashboard Indexing</t>
  </si>
  <si>
    <t>7. RANDARRAY Function</t>
  </si>
  <si>
    <t>RANDARRAY simply means random array</t>
  </si>
  <si>
    <t>It creates or picks random numbers from the given range</t>
  </si>
  <si>
    <t>SYNTAX: =RANDARRAY(rows,columns,min,max,whole_number)</t>
  </si>
  <si>
    <t>Generate 10 numbers randomly from 1000 to 5000</t>
  </si>
  <si>
    <t>Sampling of data</t>
  </si>
  <si>
    <t>Testing Dashboards</t>
  </si>
  <si>
    <t>Sales Simulation</t>
  </si>
  <si>
    <t>Inventory Simulation</t>
  </si>
  <si>
    <t>Lottery ticket sampling</t>
  </si>
  <si>
    <t>8. Combining Dynamic Functions</t>
  </si>
  <si>
    <t>FILTER+SORT</t>
  </si>
  <si>
    <t>Find the highest revenue generating drivers of North Region</t>
  </si>
  <si>
    <t>FILTER+UNIQUE</t>
  </si>
  <si>
    <t>Find the unique products from the north region</t>
  </si>
  <si>
    <t>SORT+UNIQUE</t>
  </si>
  <si>
    <t>Sort the unique ssalesperson names</t>
  </si>
  <si>
    <t>9. Spill Errors(#SPILL!)</t>
  </si>
  <si>
    <t xml:space="preserve">Possible Causes </t>
  </si>
  <si>
    <t>Data blocking spill area</t>
  </si>
  <si>
    <t>Merged cells</t>
  </si>
  <si>
    <t>Excel tables</t>
  </si>
  <si>
    <t>Not Enough space</t>
  </si>
  <si>
    <t>FIX</t>
  </si>
  <si>
    <t>Clearing surrounding cells</t>
  </si>
  <si>
    <t>Unmerge cells</t>
  </si>
  <si>
    <t>Expand space</t>
  </si>
  <si>
    <t>Shortcut to apply filtering instantly</t>
  </si>
  <si>
    <t>1. select the entire data using CTRL+ A</t>
  </si>
  <si>
    <t>2. Press CTRL+Shift+L to apply filters on each of the columns selected</t>
  </si>
  <si>
    <t>10. Real Business Case Study</t>
  </si>
  <si>
    <t>A retail sales company which has about 50,000 transactions monthly online</t>
  </si>
  <si>
    <t>You have to prepare a report with the help of dynamic functions</t>
  </si>
  <si>
    <t>1. Region wise sales report</t>
  </si>
  <si>
    <t>2.Unique customers</t>
  </si>
  <si>
    <t>3. Ranking salespersons</t>
  </si>
  <si>
    <t>4. Serialize the transactions as TXN-#####00</t>
  </si>
  <si>
    <t>5. Sampling of data</t>
  </si>
  <si>
    <t>FILTER</t>
  </si>
  <si>
    <t>SORT,UNIQUE</t>
  </si>
  <si>
    <t>UNIQUE</t>
  </si>
  <si>
    <t>SORT,SORTBY</t>
  </si>
  <si>
    <t>SEQUENCE</t>
  </si>
  <si>
    <t>CONCAT,CONCATENATE,TEXTJOIN,&amp;</t>
  </si>
  <si>
    <t>RANDARRAY</t>
  </si>
  <si>
    <t>North is best performer</t>
  </si>
  <si>
    <t>Dynamic arrays make excel modern, automatic, and super efficient.</t>
  </si>
  <si>
    <t>One formula--&gt; Multiple results--&gt; Dynamic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</si>
</sst>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D354-D081-4F32-A6C2-125A2611B742}">
  <dimension ref="A1:I120"/>
  <sheetViews>
    <sheetView tabSelected="1" topLeftCell="A5" zoomScale="190" zoomScaleNormal="190" workbookViewId="0">
      <selection activeCell="G118" sqref="G118"/>
    </sheetView>
  </sheetViews>
  <sheetFormatPr defaultRowHeight="14.25" x14ac:dyDescent="0.45"/>
  <cols>
    <col min="1" max="1" width="11" customWidth="1"/>
  </cols>
  <sheetData>
    <row r="1" spans="1:5" x14ac:dyDescent="0.45">
      <c r="D1" s="1" t="s">
        <v>6</v>
      </c>
      <c r="E1" t="s">
        <v>8</v>
      </c>
    </row>
    <row r="2" spans="1:5" x14ac:dyDescent="0.45">
      <c r="D2" s="1" t="s">
        <v>7</v>
      </c>
      <c r="E2" t="s">
        <v>9</v>
      </c>
    </row>
    <row r="4" spans="1:5" x14ac:dyDescent="0.45">
      <c r="D4" t="s">
        <v>10</v>
      </c>
      <c r="E4" t="s">
        <v>12</v>
      </c>
    </row>
    <row r="5" spans="1:5" x14ac:dyDescent="0.45">
      <c r="D5" t="s">
        <v>11</v>
      </c>
    </row>
    <row r="7" spans="1:5" x14ac:dyDescent="0.45">
      <c r="D7" t="s">
        <v>13</v>
      </c>
    </row>
    <row r="8" spans="1:5" x14ac:dyDescent="0.45">
      <c r="D8" t="s">
        <v>14</v>
      </c>
    </row>
    <row r="9" spans="1:5" x14ac:dyDescent="0.45">
      <c r="D9" t="s">
        <v>15</v>
      </c>
    </row>
    <row r="11" spans="1:5" x14ac:dyDescent="0.45">
      <c r="A11" s="4" t="s">
        <v>16</v>
      </c>
      <c r="B11" s="4"/>
      <c r="C11" s="4"/>
    </row>
    <row r="12" spans="1:5" x14ac:dyDescent="0.45">
      <c r="A12" t="s">
        <v>17</v>
      </c>
    </row>
    <row r="13" spans="1:5" x14ac:dyDescent="0.45">
      <c r="A13" t="s">
        <v>18</v>
      </c>
    </row>
    <row r="15" spans="1:5" x14ac:dyDescent="0.45">
      <c r="A15" t="s">
        <v>19</v>
      </c>
    </row>
    <row r="16" spans="1:5" x14ac:dyDescent="0.45">
      <c r="A16" t="s">
        <v>20</v>
      </c>
    </row>
    <row r="18" spans="1:1" x14ac:dyDescent="0.45">
      <c r="A18" t="s">
        <v>144</v>
      </c>
    </row>
    <row r="20" spans="1:1" x14ac:dyDescent="0.45">
      <c r="A20" t="s">
        <v>145</v>
      </c>
    </row>
    <row r="22" spans="1:1" x14ac:dyDescent="0.45">
      <c r="A22" s="1" t="s">
        <v>146</v>
      </c>
    </row>
    <row r="23" spans="1:1" x14ac:dyDescent="0.45">
      <c r="A23" t="s">
        <v>147</v>
      </c>
    </row>
    <row r="24" spans="1:1" x14ac:dyDescent="0.45">
      <c r="A24" t="s">
        <v>148</v>
      </c>
    </row>
    <row r="25" spans="1:1" x14ac:dyDescent="0.45">
      <c r="A25" s="1" t="s">
        <v>150</v>
      </c>
    </row>
    <row r="26" spans="1:1" x14ac:dyDescent="0.45">
      <c r="A26" t="s">
        <v>151</v>
      </c>
    </row>
    <row r="27" spans="1:1" x14ac:dyDescent="0.45">
      <c r="A27" t="s">
        <v>152</v>
      </c>
    </row>
    <row r="28" spans="1:1" x14ac:dyDescent="0.45">
      <c r="A28" t="s">
        <v>153</v>
      </c>
    </row>
    <row r="29" spans="1:1" x14ac:dyDescent="0.45">
      <c r="A29" t="s">
        <v>154</v>
      </c>
    </row>
    <row r="31" spans="1:1" x14ac:dyDescent="0.45">
      <c r="A31" s="1" t="s">
        <v>156</v>
      </c>
    </row>
    <row r="32" spans="1:1" x14ac:dyDescent="0.45">
      <c r="A32" t="s">
        <v>157</v>
      </c>
    </row>
    <row r="33" spans="1:1" x14ac:dyDescent="0.45">
      <c r="A33" t="s">
        <v>158</v>
      </c>
    </row>
    <row r="34" spans="1:1" x14ac:dyDescent="0.45">
      <c r="A34" s="1" t="s">
        <v>160</v>
      </c>
    </row>
    <row r="35" spans="1:1" x14ac:dyDescent="0.45">
      <c r="A35" t="s">
        <v>161</v>
      </c>
    </row>
    <row r="36" spans="1:1" x14ac:dyDescent="0.45">
      <c r="A36" t="s">
        <v>162</v>
      </c>
    </row>
    <row r="37" spans="1:1" x14ac:dyDescent="0.45">
      <c r="A37" t="s">
        <v>163</v>
      </c>
    </row>
    <row r="38" spans="1:1" x14ac:dyDescent="0.45">
      <c r="A38" t="s">
        <v>164</v>
      </c>
    </row>
    <row r="40" spans="1:1" x14ac:dyDescent="0.45">
      <c r="A40" s="1" t="s">
        <v>166</v>
      </c>
    </row>
    <row r="41" spans="1:1" x14ac:dyDescent="0.45">
      <c r="A41" t="s">
        <v>167</v>
      </c>
    </row>
    <row r="42" spans="1:1" x14ac:dyDescent="0.45">
      <c r="A42" t="s">
        <v>168</v>
      </c>
    </row>
    <row r="43" spans="1:1" x14ac:dyDescent="0.45">
      <c r="A43" s="1" t="s">
        <v>160</v>
      </c>
    </row>
    <row r="44" spans="1:1" x14ac:dyDescent="0.45">
      <c r="A44" t="s">
        <v>170</v>
      </c>
    </row>
    <row r="45" spans="1:1" x14ac:dyDescent="0.45">
      <c r="A45" t="s">
        <v>171</v>
      </c>
    </row>
    <row r="46" spans="1:1" x14ac:dyDescent="0.45">
      <c r="A46" t="s">
        <v>172</v>
      </c>
    </row>
    <row r="48" spans="1:1" x14ac:dyDescent="0.45">
      <c r="A48" s="1" t="s">
        <v>173</v>
      </c>
    </row>
    <row r="49" spans="1:1" x14ac:dyDescent="0.45">
      <c r="A49" t="s">
        <v>174</v>
      </c>
    </row>
    <row r="50" spans="1:1" x14ac:dyDescent="0.45">
      <c r="A50" t="s">
        <v>175</v>
      </c>
    </row>
    <row r="51" spans="1:1" x14ac:dyDescent="0.45">
      <c r="A51" t="s">
        <v>176</v>
      </c>
    </row>
    <row r="52" spans="1:1" x14ac:dyDescent="0.45">
      <c r="A52" s="1" t="s">
        <v>160</v>
      </c>
    </row>
    <row r="53" spans="1:1" x14ac:dyDescent="0.45">
      <c r="A53" t="s">
        <v>180</v>
      </c>
    </row>
    <row r="54" spans="1:1" x14ac:dyDescent="0.45">
      <c r="A54" t="s">
        <v>181</v>
      </c>
    </row>
    <row r="55" spans="1:1" x14ac:dyDescent="0.45">
      <c r="A55" t="s">
        <v>182</v>
      </c>
    </row>
    <row r="56" spans="1:1" x14ac:dyDescent="0.45">
      <c r="A56" t="s">
        <v>183</v>
      </c>
    </row>
    <row r="57" spans="1:1" x14ac:dyDescent="0.45">
      <c r="A57" s="1" t="s">
        <v>184</v>
      </c>
    </row>
    <row r="58" spans="1:1" x14ac:dyDescent="0.45">
      <c r="A58" t="s">
        <v>185</v>
      </c>
    </row>
    <row r="60" spans="1:1" x14ac:dyDescent="0.45">
      <c r="A60" s="1" t="s">
        <v>186</v>
      </c>
    </row>
    <row r="61" spans="1:1" x14ac:dyDescent="0.45">
      <c r="A61" t="s">
        <v>187</v>
      </c>
    </row>
    <row r="62" spans="1:1" x14ac:dyDescent="0.45">
      <c r="A62" t="s">
        <v>188</v>
      </c>
    </row>
    <row r="63" spans="1:1" x14ac:dyDescent="0.45">
      <c r="A63" s="1" t="s">
        <v>189</v>
      </c>
    </row>
    <row r="64" spans="1:1" x14ac:dyDescent="0.45">
      <c r="A64" t="s">
        <v>190</v>
      </c>
    </row>
    <row r="65" spans="1:7" x14ac:dyDescent="0.45">
      <c r="A65" t="s">
        <v>191</v>
      </c>
    </row>
    <row r="66" spans="1:7" x14ac:dyDescent="0.45">
      <c r="A66" t="s">
        <v>192</v>
      </c>
    </row>
    <row r="67" spans="1:7" x14ac:dyDescent="0.45">
      <c r="A67" t="s">
        <v>193</v>
      </c>
    </row>
    <row r="69" spans="1:7" x14ac:dyDescent="0.45">
      <c r="A69" s="1" t="s">
        <v>194</v>
      </c>
    </row>
    <row r="70" spans="1:7" x14ac:dyDescent="0.45">
      <c r="A70" t="s">
        <v>195</v>
      </c>
    </row>
    <row r="71" spans="1:7" x14ac:dyDescent="0.45">
      <c r="A71" t="s">
        <v>196</v>
      </c>
    </row>
    <row r="72" spans="1:7" x14ac:dyDescent="0.45">
      <c r="A72" t="s">
        <v>197</v>
      </c>
    </row>
    <row r="74" spans="1:7" x14ac:dyDescent="0.45">
      <c r="A74" t="s">
        <v>198</v>
      </c>
      <c r="F74" cm="1">
        <f t="array" aca="1" ref="F74:F83" ca="1">_xlfn.RANDARRAY(10,1,1000,5000,TRUE)</f>
        <v>2647</v>
      </c>
      <c r="G74" cm="1">
        <f t="array" aca="1" ref="G74:G78" ca="1">_xlfn.RANDARRAY(5,1,1000,5000,FALSE)</f>
        <v>2178.6050502316875</v>
      </c>
    </row>
    <row r="75" spans="1:7" x14ac:dyDescent="0.45">
      <c r="F75">
        <f ca="1"/>
        <v>4916</v>
      </c>
      <c r="G75">
        <f ca="1"/>
        <v>1812.6620502506394</v>
      </c>
    </row>
    <row r="76" spans="1:7" x14ac:dyDescent="0.45">
      <c r="A76" s="1" t="s">
        <v>189</v>
      </c>
      <c r="F76">
        <f ca="1"/>
        <v>4120</v>
      </c>
      <c r="G76">
        <f ca="1"/>
        <v>3154.931551220996</v>
      </c>
    </row>
    <row r="77" spans="1:7" x14ac:dyDescent="0.45">
      <c r="A77" t="s">
        <v>199</v>
      </c>
      <c r="F77">
        <f ca="1"/>
        <v>4598</v>
      </c>
      <c r="G77">
        <f ca="1"/>
        <v>3044.0262392757813</v>
      </c>
    </row>
    <row r="78" spans="1:7" x14ac:dyDescent="0.45">
      <c r="A78" t="s">
        <v>200</v>
      </c>
      <c r="F78">
        <f ca="1"/>
        <v>2578</v>
      </c>
      <c r="G78">
        <f ca="1"/>
        <v>1501.8691802347457</v>
      </c>
    </row>
    <row r="79" spans="1:7" x14ac:dyDescent="0.45">
      <c r="A79" t="s">
        <v>201</v>
      </c>
      <c r="F79">
        <f ca="1"/>
        <v>4410</v>
      </c>
    </row>
    <row r="80" spans="1:7" x14ac:dyDescent="0.45">
      <c r="A80" t="s">
        <v>202</v>
      </c>
      <c r="F80">
        <f ca="1"/>
        <v>1020</v>
      </c>
    </row>
    <row r="81" spans="1:6" x14ac:dyDescent="0.45">
      <c r="A81" t="s">
        <v>203</v>
      </c>
      <c r="F81">
        <f ca="1"/>
        <v>3269</v>
      </c>
    </row>
    <row r="82" spans="1:6" x14ac:dyDescent="0.45">
      <c r="F82">
        <f ca="1"/>
        <v>1177</v>
      </c>
    </row>
    <row r="83" spans="1:6" x14ac:dyDescent="0.45">
      <c r="F83">
        <f ca="1"/>
        <v>4845</v>
      </c>
    </row>
    <row r="86" spans="1:6" x14ac:dyDescent="0.45">
      <c r="A86" s="1" t="s">
        <v>204</v>
      </c>
    </row>
    <row r="87" spans="1:6" x14ac:dyDescent="0.45">
      <c r="A87" s="1" t="s">
        <v>205</v>
      </c>
    </row>
    <row r="88" spans="1:6" x14ac:dyDescent="0.45">
      <c r="A88" s="1" t="s">
        <v>207</v>
      </c>
    </row>
    <row r="89" spans="1:6" x14ac:dyDescent="0.45">
      <c r="A89" s="1" t="s">
        <v>209</v>
      </c>
    </row>
    <row r="91" spans="1:6" x14ac:dyDescent="0.45">
      <c r="A91" s="1" t="s">
        <v>211</v>
      </c>
    </row>
    <row r="92" spans="1:6" x14ac:dyDescent="0.45">
      <c r="A92" s="1" t="s">
        <v>212</v>
      </c>
    </row>
    <row r="93" spans="1:6" x14ac:dyDescent="0.45">
      <c r="B93" t="s">
        <v>213</v>
      </c>
    </row>
    <row r="94" spans="1:6" x14ac:dyDescent="0.45">
      <c r="B94" t="s">
        <v>214</v>
      </c>
    </row>
    <row r="95" spans="1:6" x14ac:dyDescent="0.45">
      <c r="B95" t="s">
        <v>215</v>
      </c>
    </row>
    <row r="96" spans="1:6" x14ac:dyDescent="0.45">
      <c r="B96" t="s">
        <v>216</v>
      </c>
    </row>
    <row r="97" spans="1:9" x14ac:dyDescent="0.45">
      <c r="A97" s="1" t="s">
        <v>217</v>
      </c>
    </row>
    <row r="98" spans="1:9" x14ac:dyDescent="0.45">
      <c r="B98" t="s">
        <v>218</v>
      </c>
    </row>
    <row r="99" spans="1:9" x14ac:dyDescent="0.45">
      <c r="B99" t="s">
        <v>219</v>
      </c>
    </row>
    <row r="100" spans="1:9" x14ac:dyDescent="0.45">
      <c r="B100" t="s">
        <v>220</v>
      </c>
    </row>
    <row r="104" spans="1:9" x14ac:dyDescent="0.45">
      <c r="A104" s="5" t="s">
        <v>221</v>
      </c>
    </row>
    <row r="105" spans="1:9" x14ac:dyDescent="0.45">
      <c r="A105" t="s">
        <v>222</v>
      </c>
    </row>
    <row r="106" spans="1:9" x14ac:dyDescent="0.45">
      <c r="A106" t="s">
        <v>223</v>
      </c>
    </row>
    <row r="109" spans="1:9" x14ac:dyDescent="0.45">
      <c r="A109" s="1" t="s">
        <v>224</v>
      </c>
    </row>
    <row r="110" spans="1:9" x14ac:dyDescent="0.45">
      <c r="A110" t="s">
        <v>225</v>
      </c>
    </row>
    <row r="111" spans="1:9" x14ac:dyDescent="0.45">
      <c r="A111" t="s">
        <v>226</v>
      </c>
    </row>
    <row r="112" spans="1:9" x14ac:dyDescent="0.45">
      <c r="A112" t="s">
        <v>227</v>
      </c>
      <c r="E112" s="1" t="s">
        <v>232</v>
      </c>
      <c r="G112" t="s">
        <v>233</v>
      </c>
      <c r="I112" t="s">
        <v>239</v>
      </c>
    </row>
    <row r="113" spans="1:7" x14ac:dyDescent="0.45">
      <c r="A113" t="s">
        <v>228</v>
      </c>
      <c r="E113" s="1" t="s">
        <v>234</v>
      </c>
    </row>
    <row r="114" spans="1:7" x14ac:dyDescent="0.45">
      <c r="A114" t="s">
        <v>229</v>
      </c>
      <c r="E114" s="1" t="s">
        <v>235</v>
      </c>
    </row>
    <row r="115" spans="1:7" x14ac:dyDescent="0.45">
      <c r="A115" t="s">
        <v>230</v>
      </c>
      <c r="E115" s="1" t="s">
        <v>236</v>
      </c>
      <c r="F115" s="1" t="s">
        <v>237</v>
      </c>
    </row>
    <row r="116" spans="1:7" x14ac:dyDescent="0.45">
      <c r="A116" t="s">
        <v>231</v>
      </c>
      <c r="E116" s="1" t="s">
        <v>238</v>
      </c>
    </row>
    <row r="119" spans="1:7" x14ac:dyDescent="0.45">
      <c r="B119" s="1" t="s">
        <v>240</v>
      </c>
      <c r="C119" s="1"/>
      <c r="D119" s="1"/>
      <c r="E119" s="1"/>
      <c r="F119" s="1"/>
      <c r="G119" s="1"/>
    </row>
    <row r="120" spans="1:7" x14ac:dyDescent="0.45">
      <c r="B120" s="1" t="s">
        <v>241</v>
      </c>
      <c r="C120" s="1"/>
      <c r="D120" s="1"/>
      <c r="E120" s="1"/>
      <c r="F120" s="1"/>
      <c r="G1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BD4C-4D27-45CF-9C51-560E898A4DD6}">
  <dimension ref="A1:U101"/>
  <sheetViews>
    <sheetView topLeftCell="I3" zoomScale="160" zoomScaleNormal="160" workbookViewId="0">
      <selection activeCell="M6" sqref="M6"/>
    </sheetView>
  </sheetViews>
  <sheetFormatPr defaultRowHeight="14.25" x14ac:dyDescent="0.45"/>
  <cols>
    <col min="1" max="1" width="10.86328125" bestFit="1" customWidth="1"/>
    <col min="2" max="2" width="9.9296875" bestFit="1" customWidth="1"/>
    <col min="3" max="3" width="6.46484375" bestFit="1" customWidth="1"/>
    <col min="4" max="4" width="10.53125" bestFit="1" customWidth="1"/>
    <col min="5" max="5" width="15.1328125" bestFit="1" customWidth="1"/>
    <col min="6" max="6" width="10.19921875" bestFit="1" customWidth="1"/>
    <col min="7" max="7" width="9" bestFit="1" customWidth="1"/>
    <col min="8" max="8" width="8.73046875" bestFit="1" customWidth="1"/>
    <col min="9" max="9" width="7.9296875" bestFit="1" customWidth="1"/>
  </cols>
  <sheetData>
    <row r="1" spans="1:21" x14ac:dyDescent="0.45">
      <c r="A1" s="1" t="s">
        <v>21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</v>
      </c>
    </row>
    <row r="2" spans="1:21" x14ac:dyDescent="0.45">
      <c r="A2" t="s">
        <v>27</v>
      </c>
      <c r="B2" s="2">
        <v>46024</v>
      </c>
      <c r="C2" t="s">
        <v>28</v>
      </c>
      <c r="D2" t="s">
        <v>29</v>
      </c>
      <c r="E2" t="s">
        <v>30</v>
      </c>
      <c r="F2" t="s">
        <v>31</v>
      </c>
      <c r="G2" s="3">
        <v>7</v>
      </c>
      <c r="H2" s="3">
        <v>62000</v>
      </c>
      <c r="I2" s="3">
        <v>434000</v>
      </c>
    </row>
    <row r="3" spans="1:21" x14ac:dyDescent="0.45">
      <c r="A3" t="s">
        <v>32</v>
      </c>
      <c r="B3" s="2">
        <v>46025</v>
      </c>
      <c r="C3" t="s">
        <v>33</v>
      </c>
      <c r="D3" t="s">
        <v>34</v>
      </c>
      <c r="E3" t="s">
        <v>30</v>
      </c>
      <c r="F3" t="s">
        <v>35</v>
      </c>
      <c r="G3" s="3">
        <v>10</v>
      </c>
      <c r="H3" s="3">
        <v>14000</v>
      </c>
      <c r="I3" s="3">
        <v>140000</v>
      </c>
    </row>
    <row r="4" spans="1:21" x14ac:dyDescent="0.45">
      <c r="A4" t="s">
        <v>36</v>
      </c>
      <c r="B4" s="2">
        <v>46026</v>
      </c>
      <c r="C4" t="s">
        <v>37</v>
      </c>
      <c r="D4" t="s">
        <v>38</v>
      </c>
      <c r="E4" t="s">
        <v>39</v>
      </c>
      <c r="F4" t="s">
        <v>3</v>
      </c>
      <c r="G4" s="3">
        <v>3</v>
      </c>
      <c r="H4" s="3">
        <v>8500</v>
      </c>
      <c r="I4" s="3">
        <v>25500</v>
      </c>
    </row>
    <row r="5" spans="1:21" x14ac:dyDescent="0.45">
      <c r="A5" t="s">
        <v>40</v>
      </c>
      <c r="B5" s="2">
        <v>46027</v>
      </c>
      <c r="C5" t="s">
        <v>41</v>
      </c>
      <c r="D5" t="s">
        <v>42</v>
      </c>
      <c r="E5" t="s">
        <v>43</v>
      </c>
      <c r="F5" t="s">
        <v>44</v>
      </c>
      <c r="G5" s="3">
        <v>6</v>
      </c>
      <c r="H5" s="3">
        <v>1200</v>
      </c>
      <c r="I5" s="3">
        <v>7200</v>
      </c>
      <c r="M5" s="1" t="s">
        <v>149</v>
      </c>
    </row>
    <row r="6" spans="1:21" x14ac:dyDescent="0.45">
      <c r="A6" t="s">
        <v>45</v>
      </c>
      <c r="B6" s="2">
        <v>46028</v>
      </c>
      <c r="C6" t="s">
        <v>28</v>
      </c>
      <c r="D6" t="s">
        <v>46</v>
      </c>
      <c r="E6" t="s">
        <v>43</v>
      </c>
      <c r="F6" t="s">
        <v>4</v>
      </c>
      <c r="G6" s="3">
        <v>9</v>
      </c>
      <c r="H6" s="3">
        <v>900</v>
      </c>
      <c r="I6" s="3">
        <v>8100</v>
      </c>
      <c r="M6" t="str" cm="1">
        <f t="array" ref="M6:U30">_xlfn._xlws.FILTER(A2:I101,C2:C101="North")</f>
        <v>ORD-100001</v>
      </c>
      <c r="N6">
        <v>46024</v>
      </c>
      <c r="O6" t="str">
        <v>North</v>
      </c>
      <c r="P6" t="str">
        <v>Rahul</v>
      </c>
      <c r="Q6" t="str">
        <v>Electronics</v>
      </c>
      <c r="R6" t="str">
        <v>Laptop</v>
      </c>
      <c r="S6">
        <v>7</v>
      </c>
      <c r="T6">
        <v>62000</v>
      </c>
      <c r="U6">
        <v>434000</v>
      </c>
    </row>
    <row r="7" spans="1:21" x14ac:dyDescent="0.45">
      <c r="A7" t="s">
        <v>47</v>
      </c>
      <c r="B7" s="2">
        <v>46029</v>
      </c>
      <c r="C7" t="s">
        <v>33</v>
      </c>
      <c r="D7" t="s">
        <v>48</v>
      </c>
      <c r="E7" t="s">
        <v>49</v>
      </c>
      <c r="F7" t="s">
        <v>5</v>
      </c>
      <c r="G7" s="3">
        <v>2</v>
      </c>
      <c r="H7" s="3">
        <v>3200</v>
      </c>
      <c r="I7" s="3">
        <v>6400</v>
      </c>
      <c r="M7" t="str">
        <v>ORD-100005</v>
      </c>
      <c r="N7">
        <v>46028</v>
      </c>
      <c r="O7" t="str">
        <v>North</v>
      </c>
      <c r="P7" t="str">
        <v>Karan</v>
      </c>
      <c r="Q7" t="str">
        <v>Accessories</v>
      </c>
      <c r="R7" t="str">
        <v>Mouse</v>
      </c>
      <c r="S7">
        <v>9</v>
      </c>
      <c r="T7">
        <v>900</v>
      </c>
      <c r="U7">
        <v>8100</v>
      </c>
    </row>
    <row r="8" spans="1:21" x14ac:dyDescent="0.45">
      <c r="A8" t="s">
        <v>50</v>
      </c>
      <c r="B8" s="2">
        <v>46030</v>
      </c>
      <c r="C8" t="s">
        <v>37</v>
      </c>
      <c r="D8" t="s">
        <v>29</v>
      </c>
      <c r="E8" t="s">
        <v>30</v>
      </c>
      <c r="F8" t="s">
        <v>31</v>
      </c>
      <c r="G8" s="3">
        <v>5</v>
      </c>
      <c r="H8" s="3">
        <v>62000</v>
      </c>
      <c r="I8" s="3">
        <v>310000</v>
      </c>
      <c r="M8" t="str">
        <v>ORD-100009</v>
      </c>
      <c r="N8">
        <v>46032</v>
      </c>
      <c r="O8" t="str">
        <v>North</v>
      </c>
      <c r="P8" t="str">
        <v>Amit</v>
      </c>
      <c r="Q8" t="str">
        <v>Furniture</v>
      </c>
      <c r="R8" t="str">
        <v>Office Chair</v>
      </c>
      <c r="S8">
        <v>1</v>
      </c>
      <c r="T8">
        <v>8500</v>
      </c>
      <c r="U8">
        <v>8500</v>
      </c>
    </row>
    <row r="9" spans="1:21" x14ac:dyDescent="0.45">
      <c r="A9" t="s">
        <v>51</v>
      </c>
      <c r="B9" s="2">
        <v>46031</v>
      </c>
      <c r="C9" t="s">
        <v>41</v>
      </c>
      <c r="D9" t="s">
        <v>34</v>
      </c>
      <c r="E9" t="s">
        <v>30</v>
      </c>
      <c r="F9" t="s">
        <v>35</v>
      </c>
      <c r="G9" s="3">
        <v>8</v>
      </c>
      <c r="H9" s="3">
        <v>14000</v>
      </c>
      <c r="I9" s="3">
        <v>112000</v>
      </c>
      <c r="M9" t="str">
        <v>ORD-100013</v>
      </c>
      <c r="N9">
        <v>46036</v>
      </c>
      <c r="O9" t="str">
        <v>North</v>
      </c>
      <c r="P9" t="str">
        <v>Rahul</v>
      </c>
      <c r="Q9" t="str">
        <v>Electronics</v>
      </c>
      <c r="R9" t="str">
        <v>Laptop</v>
      </c>
      <c r="S9">
        <v>3</v>
      </c>
      <c r="T9">
        <v>62000</v>
      </c>
      <c r="U9">
        <v>186000</v>
      </c>
    </row>
    <row r="10" spans="1:21" x14ac:dyDescent="0.45">
      <c r="A10" t="s">
        <v>52</v>
      </c>
      <c r="B10" s="2">
        <v>46032</v>
      </c>
      <c r="C10" t="s">
        <v>28</v>
      </c>
      <c r="D10" t="s">
        <v>38</v>
      </c>
      <c r="E10" t="s">
        <v>39</v>
      </c>
      <c r="F10" t="s">
        <v>3</v>
      </c>
      <c r="G10" s="3">
        <v>1</v>
      </c>
      <c r="H10" s="3">
        <v>8500</v>
      </c>
      <c r="I10" s="3">
        <v>8500</v>
      </c>
      <c r="M10" t="str">
        <v>ORD-100017</v>
      </c>
      <c r="N10">
        <v>46040</v>
      </c>
      <c r="O10" t="str">
        <v>North</v>
      </c>
      <c r="P10" t="str">
        <v>Karan</v>
      </c>
      <c r="Q10" t="str">
        <v>Accessories</v>
      </c>
      <c r="R10" t="str">
        <v>Mouse</v>
      </c>
      <c r="S10">
        <v>5</v>
      </c>
      <c r="T10">
        <v>900</v>
      </c>
      <c r="U10">
        <v>4500</v>
      </c>
    </row>
    <row r="11" spans="1:21" x14ac:dyDescent="0.45">
      <c r="A11" t="s">
        <v>53</v>
      </c>
      <c r="B11" s="2">
        <v>46033</v>
      </c>
      <c r="C11" t="s">
        <v>33</v>
      </c>
      <c r="D11" t="s">
        <v>42</v>
      </c>
      <c r="E11" t="s">
        <v>43</v>
      </c>
      <c r="F11" t="s">
        <v>44</v>
      </c>
      <c r="G11" s="3">
        <v>4</v>
      </c>
      <c r="H11" s="3">
        <v>1200</v>
      </c>
      <c r="I11" s="3">
        <v>4800</v>
      </c>
      <c r="M11" t="str">
        <v>ORD-100021</v>
      </c>
      <c r="N11">
        <v>46044</v>
      </c>
      <c r="O11" t="str">
        <v>North</v>
      </c>
      <c r="P11" t="str">
        <v>Amit</v>
      </c>
      <c r="Q11" t="str">
        <v>Furniture</v>
      </c>
      <c r="R11" t="str">
        <v>Office Chair</v>
      </c>
      <c r="S11">
        <v>7</v>
      </c>
      <c r="T11">
        <v>8500</v>
      </c>
      <c r="U11">
        <v>59500</v>
      </c>
    </row>
    <row r="12" spans="1:21" x14ac:dyDescent="0.45">
      <c r="A12" t="s">
        <v>54</v>
      </c>
      <c r="B12" s="2">
        <v>46034</v>
      </c>
      <c r="C12" t="s">
        <v>37</v>
      </c>
      <c r="D12" t="s">
        <v>46</v>
      </c>
      <c r="E12" t="s">
        <v>43</v>
      </c>
      <c r="F12" t="s">
        <v>4</v>
      </c>
      <c r="G12" s="3">
        <v>7</v>
      </c>
      <c r="H12" s="3">
        <v>900</v>
      </c>
      <c r="I12" s="3">
        <v>6300</v>
      </c>
      <c r="M12" t="str">
        <v>ORD-100025</v>
      </c>
      <c r="N12">
        <v>46048</v>
      </c>
      <c r="O12" t="str">
        <v>North</v>
      </c>
      <c r="P12" t="str">
        <v>Rahul</v>
      </c>
      <c r="Q12" t="str">
        <v>Electronics</v>
      </c>
      <c r="R12" t="str">
        <v>Laptop</v>
      </c>
      <c r="S12">
        <v>9</v>
      </c>
      <c r="T12">
        <v>62000</v>
      </c>
      <c r="U12">
        <v>558000</v>
      </c>
    </row>
    <row r="13" spans="1:21" x14ac:dyDescent="0.45">
      <c r="A13" t="s">
        <v>55</v>
      </c>
      <c r="B13" s="2">
        <v>46035</v>
      </c>
      <c r="C13" t="s">
        <v>41</v>
      </c>
      <c r="D13" t="s">
        <v>48</v>
      </c>
      <c r="E13" t="s">
        <v>49</v>
      </c>
      <c r="F13" t="s">
        <v>5</v>
      </c>
      <c r="G13" s="3">
        <v>10</v>
      </c>
      <c r="H13" s="3">
        <v>3200</v>
      </c>
      <c r="I13" s="3">
        <v>32000</v>
      </c>
      <c r="M13" t="str">
        <v>ORD-100029</v>
      </c>
      <c r="N13">
        <v>46052</v>
      </c>
      <c r="O13" t="str">
        <v>North</v>
      </c>
      <c r="P13" t="str">
        <v>Karan</v>
      </c>
      <c r="Q13" t="str">
        <v>Accessories</v>
      </c>
      <c r="R13" t="str">
        <v>Mouse</v>
      </c>
      <c r="S13">
        <v>1</v>
      </c>
      <c r="T13">
        <v>900</v>
      </c>
      <c r="U13">
        <v>900</v>
      </c>
    </row>
    <row r="14" spans="1:21" x14ac:dyDescent="0.45">
      <c r="A14" t="s">
        <v>56</v>
      </c>
      <c r="B14" s="2">
        <v>46036</v>
      </c>
      <c r="C14" t="s">
        <v>28</v>
      </c>
      <c r="D14" t="s">
        <v>29</v>
      </c>
      <c r="E14" t="s">
        <v>30</v>
      </c>
      <c r="F14" t="s">
        <v>31</v>
      </c>
      <c r="G14" s="3">
        <v>3</v>
      </c>
      <c r="H14" s="3">
        <v>62000</v>
      </c>
      <c r="I14" s="3">
        <v>186000</v>
      </c>
      <c r="M14" t="str">
        <v>ORD-100033</v>
      </c>
      <c r="N14">
        <v>46056</v>
      </c>
      <c r="O14" t="str">
        <v>North</v>
      </c>
      <c r="P14" t="str">
        <v>Amit</v>
      </c>
      <c r="Q14" t="str">
        <v>Furniture</v>
      </c>
      <c r="R14" t="str">
        <v>Office Chair</v>
      </c>
      <c r="S14">
        <v>3</v>
      </c>
      <c r="T14">
        <v>8500</v>
      </c>
      <c r="U14">
        <v>25500</v>
      </c>
    </row>
    <row r="15" spans="1:21" x14ac:dyDescent="0.45">
      <c r="A15" t="s">
        <v>57</v>
      </c>
      <c r="B15" s="2">
        <v>46037</v>
      </c>
      <c r="C15" t="s">
        <v>33</v>
      </c>
      <c r="D15" t="s">
        <v>34</v>
      </c>
      <c r="E15" t="s">
        <v>30</v>
      </c>
      <c r="F15" t="s">
        <v>35</v>
      </c>
      <c r="G15" s="3">
        <v>6</v>
      </c>
      <c r="H15" s="3">
        <v>14000</v>
      </c>
      <c r="I15" s="3">
        <v>84000</v>
      </c>
      <c r="M15" t="str">
        <v>ORD-100037</v>
      </c>
      <c r="N15">
        <v>46060</v>
      </c>
      <c r="O15" t="str">
        <v>North</v>
      </c>
      <c r="P15" t="str">
        <v>Rahul</v>
      </c>
      <c r="Q15" t="str">
        <v>Electronics</v>
      </c>
      <c r="R15" t="str">
        <v>Laptop</v>
      </c>
      <c r="S15">
        <v>5</v>
      </c>
      <c r="T15">
        <v>62000</v>
      </c>
      <c r="U15">
        <v>310000</v>
      </c>
    </row>
    <row r="16" spans="1:21" x14ac:dyDescent="0.45">
      <c r="A16" t="s">
        <v>58</v>
      </c>
      <c r="B16" s="2">
        <v>46038</v>
      </c>
      <c r="C16" t="s">
        <v>37</v>
      </c>
      <c r="D16" t="s">
        <v>38</v>
      </c>
      <c r="E16" t="s">
        <v>39</v>
      </c>
      <c r="F16" t="s">
        <v>3</v>
      </c>
      <c r="G16" s="3">
        <v>9</v>
      </c>
      <c r="H16" s="3">
        <v>8500</v>
      </c>
      <c r="I16" s="3">
        <v>76500</v>
      </c>
      <c r="M16" t="str">
        <v>ORD-100041</v>
      </c>
      <c r="N16">
        <v>46064</v>
      </c>
      <c r="O16" t="str">
        <v>North</v>
      </c>
      <c r="P16" t="str">
        <v>Karan</v>
      </c>
      <c r="Q16" t="str">
        <v>Accessories</v>
      </c>
      <c r="R16" t="str">
        <v>Mouse</v>
      </c>
      <c r="S16">
        <v>7</v>
      </c>
      <c r="T16">
        <v>900</v>
      </c>
      <c r="U16">
        <v>6300</v>
      </c>
    </row>
    <row r="17" spans="1:21" x14ac:dyDescent="0.45">
      <c r="A17" t="s">
        <v>59</v>
      </c>
      <c r="B17" s="2">
        <v>46039</v>
      </c>
      <c r="C17" t="s">
        <v>41</v>
      </c>
      <c r="D17" t="s">
        <v>42</v>
      </c>
      <c r="E17" t="s">
        <v>43</v>
      </c>
      <c r="F17" t="s">
        <v>44</v>
      </c>
      <c r="G17" s="3">
        <v>2</v>
      </c>
      <c r="H17" s="3">
        <v>1200</v>
      </c>
      <c r="I17" s="3">
        <v>2400</v>
      </c>
      <c r="M17" t="str">
        <v>ORD-100045</v>
      </c>
      <c r="N17">
        <v>46068</v>
      </c>
      <c r="O17" t="str">
        <v>North</v>
      </c>
      <c r="P17" t="str">
        <v>Amit</v>
      </c>
      <c r="Q17" t="str">
        <v>Furniture</v>
      </c>
      <c r="R17" t="str">
        <v>Office Chair</v>
      </c>
      <c r="S17">
        <v>9</v>
      </c>
      <c r="T17">
        <v>8500</v>
      </c>
      <c r="U17">
        <v>76500</v>
      </c>
    </row>
    <row r="18" spans="1:21" x14ac:dyDescent="0.45">
      <c r="A18" t="s">
        <v>60</v>
      </c>
      <c r="B18" s="2">
        <v>46040</v>
      </c>
      <c r="C18" t="s">
        <v>28</v>
      </c>
      <c r="D18" t="s">
        <v>46</v>
      </c>
      <c r="E18" t="s">
        <v>43</v>
      </c>
      <c r="F18" t="s">
        <v>4</v>
      </c>
      <c r="G18" s="3">
        <v>5</v>
      </c>
      <c r="H18" s="3">
        <v>900</v>
      </c>
      <c r="I18" s="3">
        <v>4500</v>
      </c>
      <c r="M18" t="str">
        <v>ORD-100049</v>
      </c>
      <c r="N18">
        <v>46072</v>
      </c>
      <c r="O18" t="str">
        <v>North</v>
      </c>
      <c r="P18" t="str">
        <v>Rahul</v>
      </c>
      <c r="Q18" t="str">
        <v>Electronics</v>
      </c>
      <c r="R18" t="str">
        <v>Laptop</v>
      </c>
      <c r="S18">
        <v>1</v>
      </c>
      <c r="T18">
        <v>62000</v>
      </c>
      <c r="U18">
        <v>62000</v>
      </c>
    </row>
    <row r="19" spans="1:21" x14ac:dyDescent="0.45">
      <c r="A19" t="s">
        <v>61</v>
      </c>
      <c r="B19" s="2">
        <v>46041</v>
      </c>
      <c r="C19" t="s">
        <v>33</v>
      </c>
      <c r="D19" t="s">
        <v>48</v>
      </c>
      <c r="E19" t="s">
        <v>49</v>
      </c>
      <c r="F19" t="s">
        <v>5</v>
      </c>
      <c r="G19" s="3">
        <v>8</v>
      </c>
      <c r="H19" s="3">
        <v>3200</v>
      </c>
      <c r="I19" s="3">
        <v>25600</v>
      </c>
      <c r="M19" t="str">
        <v>ORD-100053</v>
      </c>
      <c r="N19">
        <v>46076</v>
      </c>
      <c r="O19" t="str">
        <v>North</v>
      </c>
      <c r="P19" t="str">
        <v>Karan</v>
      </c>
      <c r="Q19" t="str">
        <v>Accessories</v>
      </c>
      <c r="R19" t="str">
        <v>Mouse</v>
      </c>
      <c r="S19">
        <v>3</v>
      </c>
      <c r="T19">
        <v>900</v>
      </c>
      <c r="U19">
        <v>2700</v>
      </c>
    </row>
    <row r="20" spans="1:21" x14ac:dyDescent="0.45">
      <c r="A20" t="s">
        <v>62</v>
      </c>
      <c r="B20" s="2">
        <v>46042</v>
      </c>
      <c r="C20" t="s">
        <v>37</v>
      </c>
      <c r="D20" t="s">
        <v>29</v>
      </c>
      <c r="E20" t="s">
        <v>30</v>
      </c>
      <c r="F20" t="s">
        <v>31</v>
      </c>
      <c r="G20" s="3">
        <v>1</v>
      </c>
      <c r="H20" s="3">
        <v>62000</v>
      </c>
      <c r="I20" s="3">
        <v>62000</v>
      </c>
      <c r="M20" t="str">
        <v>ORD-100057</v>
      </c>
      <c r="N20">
        <v>46080</v>
      </c>
      <c r="O20" t="str">
        <v>North</v>
      </c>
      <c r="P20" t="str">
        <v>Amit</v>
      </c>
      <c r="Q20" t="str">
        <v>Furniture</v>
      </c>
      <c r="R20" t="str">
        <v>Office Chair</v>
      </c>
      <c r="S20">
        <v>5</v>
      </c>
      <c r="T20">
        <v>8500</v>
      </c>
      <c r="U20">
        <v>42500</v>
      </c>
    </row>
    <row r="21" spans="1:21" x14ac:dyDescent="0.45">
      <c r="A21" t="s">
        <v>63</v>
      </c>
      <c r="B21" s="2">
        <v>46043</v>
      </c>
      <c r="C21" t="s">
        <v>41</v>
      </c>
      <c r="D21" t="s">
        <v>34</v>
      </c>
      <c r="E21" t="s">
        <v>30</v>
      </c>
      <c r="F21" t="s">
        <v>35</v>
      </c>
      <c r="G21" s="3">
        <v>4</v>
      </c>
      <c r="H21" s="3">
        <v>14000</v>
      </c>
      <c r="I21" s="3">
        <v>56000</v>
      </c>
      <c r="M21" t="str">
        <v>ORD-100061</v>
      </c>
      <c r="N21">
        <v>46024</v>
      </c>
      <c r="O21" t="str">
        <v>North</v>
      </c>
      <c r="P21" t="str">
        <v>Rahul</v>
      </c>
      <c r="Q21" t="str">
        <v>Electronics</v>
      </c>
      <c r="R21" t="str">
        <v>Laptop</v>
      </c>
      <c r="S21">
        <v>7</v>
      </c>
      <c r="T21">
        <v>62000</v>
      </c>
      <c r="U21">
        <v>434000</v>
      </c>
    </row>
    <row r="22" spans="1:21" x14ac:dyDescent="0.45">
      <c r="A22" t="s">
        <v>64</v>
      </c>
      <c r="B22" s="2">
        <v>46044</v>
      </c>
      <c r="C22" t="s">
        <v>28</v>
      </c>
      <c r="D22" t="s">
        <v>38</v>
      </c>
      <c r="E22" t="s">
        <v>39</v>
      </c>
      <c r="F22" t="s">
        <v>3</v>
      </c>
      <c r="G22" s="3">
        <v>7</v>
      </c>
      <c r="H22" s="3">
        <v>8500</v>
      </c>
      <c r="I22" s="3">
        <v>59500</v>
      </c>
      <c r="M22" t="str">
        <v>ORD-100065</v>
      </c>
      <c r="N22">
        <v>46028</v>
      </c>
      <c r="O22" t="str">
        <v>North</v>
      </c>
      <c r="P22" t="str">
        <v>Karan</v>
      </c>
      <c r="Q22" t="str">
        <v>Accessories</v>
      </c>
      <c r="R22" t="str">
        <v>Mouse</v>
      </c>
      <c r="S22">
        <v>9</v>
      </c>
      <c r="T22">
        <v>900</v>
      </c>
      <c r="U22">
        <v>8100</v>
      </c>
    </row>
    <row r="23" spans="1:21" x14ac:dyDescent="0.45">
      <c r="A23" t="s">
        <v>65</v>
      </c>
      <c r="B23" s="2">
        <v>46045</v>
      </c>
      <c r="C23" t="s">
        <v>33</v>
      </c>
      <c r="D23" t="s">
        <v>42</v>
      </c>
      <c r="E23" t="s">
        <v>43</v>
      </c>
      <c r="F23" t="s">
        <v>44</v>
      </c>
      <c r="G23" s="3">
        <v>10</v>
      </c>
      <c r="H23" s="3">
        <v>1200</v>
      </c>
      <c r="I23" s="3">
        <v>12000</v>
      </c>
      <c r="M23" t="str">
        <v>ORD-100069</v>
      </c>
      <c r="N23">
        <v>46032</v>
      </c>
      <c r="O23" t="str">
        <v>North</v>
      </c>
      <c r="P23" t="str">
        <v>Amit</v>
      </c>
      <c r="Q23" t="str">
        <v>Furniture</v>
      </c>
      <c r="R23" t="str">
        <v>Office Chair</v>
      </c>
      <c r="S23">
        <v>1</v>
      </c>
      <c r="T23">
        <v>8500</v>
      </c>
      <c r="U23">
        <v>8500</v>
      </c>
    </row>
    <row r="24" spans="1:21" x14ac:dyDescent="0.45">
      <c r="A24" t="s">
        <v>66</v>
      </c>
      <c r="B24" s="2">
        <v>46046</v>
      </c>
      <c r="C24" t="s">
        <v>37</v>
      </c>
      <c r="D24" t="s">
        <v>46</v>
      </c>
      <c r="E24" t="s">
        <v>43</v>
      </c>
      <c r="F24" t="s">
        <v>4</v>
      </c>
      <c r="G24" s="3">
        <v>3</v>
      </c>
      <c r="H24" s="3">
        <v>900</v>
      </c>
      <c r="I24" s="3">
        <v>2700</v>
      </c>
      <c r="M24" t="str">
        <v>ORD-100073</v>
      </c>
      <c r="N24">
        <v>46036</v>
      </c>
      <c r="O24" t="str">
        <v>North</v>
      </c>
      <c r="P24" t="str">
        <v>Rahul</v>
      </c>
      <c r="Q24" t="str">
        <v>Electronics</v>
      </c>
      <c r="R24" t="str">
        <v>Laptop</v>
      </c>
      <c r="S24">
        <v>3</v>
      </c>
      <c r="T24">
        <v>62000</v>
      </c>
      <c r="U24">
        <v>186000</v>
      </c>
    </row>
    <row r="25" spans="1:21" x14ac:dyDescent="0.45">
      <c r="A25" t="s">
        <v>67</v>
      </c>
      <c r="B25" s="2">
        <v>46047</v>
      </c>
      <c r="C25" t="s">
        <v>41</v>
      </c>
      <c r="D25" t="s">
        <v>48</v>
      </c>
      <c r="E25" t="s">
        <v>49</v>
      </c>
      <c r="F25" t="s">
        <v>5</v>
      </c>
      <c r="G25" s="3">
        <v>6</v>
      </c>
      <c r="H25" s="3">
        <v>3200</v>
      </c>
      <c r="I25" s="3">
        <v>19200</v>
      </c>
      <c r="M25" t="str">
        <v>ORD-100077</v>
      </c>
      <c r="N25">
        <v>46040</v>
      </c>
      <c r="O25" t="str">
        <v>North</v>
      </c>
      <c r="P25" t="str">
        <v>Karan</v>
      </c>
      <c r="Q25" t="str">
        <v>Accessories</v>
      </c>
      <c r="R25" t="str">
        <v>Mouse</v>
      </c>
      <c r="S25">
        <v>5</v>
      </c>
      <c r="T25">
        <v>900</v>
      </c>
      <c r="U25">
        <v>4500</v>
      </c>
    </row>
    <row r="26" spans="1:21" x14ac:dyDescent="0.45">
      <c r="A26" t="s">
        <v>68</v>
      </c>
      <c r="B26" s="2">
        <v>46048</v>
      </c>
      <c r="C26" t="s">
        <v>28</v>
      </c>
      <c r="D26" t="s">
        <v>29</v>
      </c>
      <c r="E26" t="s">
        <v>30</v>
      </c>
      <c r="F26" t="s">
        <v>31</v>
      </c>
      <c r="G26" s="3">
        <v>9</v>
      </c>
      <c r="H26" s="3">
        <v>62000</v>
      </c>
      <c r="I26" s="3">
        <v>558000</v>
      </c>
      <c r="M26" t="str">
        <v>ORD-100081</v>
      </c>
      <c r="N26">
        <v>46044</v>
      </c>
      <c r="O26" t="str">
        <v>North</v>
      </c>
      <c r="P26" t="str">
        <v>Amit</v>
      </c>
      <c r="Q26" t="str">
        <v>Furniture</v>
      </c>
      <c r="R26" t="str">
        <v>Office Chair</v>
      </c>
      <c r="S26">
        <v>7</v>
      </c>
      <c r="T26">
        <v>8500</v>
      </c>
      <c r="U26">
        <v>59500</v>
      </c>
    </row>
    <row r="27" spans="1:21" x14ac:dyDescent="0.45">
      <c r="A27" t="s">
        <v>69</v>
      </c>
      <c r="B27" s="2">
        <v>46049</v>
      </c>
      <c r="C27" t="s">
        <v>33</v>
      </c>
      <c r="D27" t="s">
        <v>34</v>
      </c>
      <c r="E27" t="s">
        <v>30</v>
      </c>
      <c r="F27" t="s">
        <v>35</v>
      </c>
      <c r="G27" s="3">
        <v>2</v>
      </c>
      <c r="H27" s="3">
        <v>14000</v>
      </c>
      <c r="I27" s="3">
        <v>28000</v>
      </c>
      <c r="M27" t="str">
        <v>ORD-100085</v>
      </c>
      <c r="N27">
        <v>46048</v>
      </c>
      <c r="O27" t="str">
        <v>North</v>
      </c>
      <c r="P27" t="str">
        <v>Rahul</v>
      </c>
      <c r="Q27" t="str">
        <v>Electronics</v>
      </c>
      <c r="R27" t="str">
        <v>Laptop</v>
      </c>
      <c r="S27">
        <v>9</v>
      </c>
      <c r="T27">
        <v>62000</v>
      </c>
      <c r="U27">
        <v>558000</v>
      </c>
    </row>
    <row r="28" spans="1:21" x14ac:dyDescent="0.45">
      <c r="A28" t="s">
        <v>70</v>
      </c>
      <c r="B28" s="2">
        <v>46050</v>
      </c>
      <c r="C28" t="s">
        <v>37</v>
      </c>
      <c r="D28" t="s">
        <v>38</v>
      </c>
      <c r="E28" t="s">
        <v>39</v>
      </c>
      <c r="F28" t="s">
        <v>3</v>
      </c>
      <c r="G28" s="3">
        <v>5</v>
      </c>
      <c r="H28" s="3">
        <v>8500</v>
      </c>
      <c r="I28" s="3">
        <v>42500</v>
      </c>
      <c r="M28" t="str">
        <v>ORD-100089</v>
      </c>
      <c r="N28">
        <v>46052</v>
      </c>
      <c r="O28" t="str">
        <v>North</v>
      </c>
      <c r="P28" t="str">
        <v>Karan</v>
      </c>
      <c r="Q28" t="str">
        <v>Accessories</v>
      </c>
      <c r="R28" t="str">
        <v>Mouse</v>
      </c>
      <c r="S28">
        <v>1</v>
      </c>
      <c r="T28">
        <v>900</v>
      </c>
      <c r="U28">
        <v>900</v>
      </c>
    </row>
    <row r="29" spans="1:21" x14ac:dyDescent="0.45">
      <c r="A29" t="s">
        <v>71</v>
      </c>
      <c r="B29" s="2">
        <v>46051</v>
      </c>
      <c r="C29" t="s">
        <v>41</v>
      </c>
      <c r="D29" t="s">
        <v>42</v>
      </c>
      <c r="E29" t="s">
        <v>43</v>
      </c>
      <c r="F29" t="s">
        <v>44</v>
      </c>
      <c r="G29" s="3">
        <v>8</v>
      </c>
      <c r="H29" s="3">
        <v>1200</v>
      </c>
      <c r="I29" s="3">
        <v>9600</v>
      </c>
      <c r="M29" t="str">
        <v>ORD-100093</v>
      </c>
      <c r="N29">
        <v>46056</v>
      </c>
      <c r="O29" t="str">
        <v>North</v>
      </c>
      <c r="P29" t="str">
        <v>Amit</v>
      </c>
      <c r="Q29" t="str">
        <v>Furniture</v>
      </c>
      <c r="R29" t="str">
        <v>Office Chair</v>
      </c>
      <c r="S29">
        <v>3</v>
      </c>
      <c r="T29">
        <v>8500</v>
      </c>
      <c r="U29">
        <v>25500</v>
      </c>
    </row>
    <row r="30" spans="1:21" x14ac:dyDescent="0.45">
      <c r="A30" t="s">
        <v>72</v>
      </c>
      <c r="B30" s="2">
        <v>46052</v>
      </c>
      <c r="C30" t="s">
        <v>28</v>
      </c>
      <c r="D30" t="s">
        <v>46</v>
      </c>
      <c r="E30" t="s">
        <v>43</v>
      </c>
      <c r="F30" t="s">
        <v>4</v>
      </c>
      <c r="G30" s="3">
        <v>1</v>
      </c>
      <c r="H30" s="3">
        <v>900</v>
      </c>
      <c r="I30" s="3">
        <v>900</v>
      </c>
      <c r="M30" t="str">
        <v>ORD-100097</v>
      </c>
      <c r="N30">
        <v>46060</v>
      </c>
      <c r="O30" t="str">
        <v>North</v>
      </c>
      <c r="P30" t="str">
        <v>Rahul</v>
      </c>
      <c r="Q30" t="str">
        <v>Electronics</v>
      </c>
      <c r="R30" t="str">
        <v>Laptop</v>
      </c>
      <c r="S30">
        <v>5</v>
      </c>
      <c r="T30">
        <v>62000</v>
      </c>
      <c r="U30">
        <v>310000</v>
      </c>
    </row>
    <row r="31" spans="1:21" x14ac:dyDescent="0.45">
      <c r="A31" t="s">
        <v>73</v>
      </c>
      <c r="B31" s="2">
        <v>46053</v>
      </c>
      <c r="C31" t="s">
        <v>33</v>
      </c>
      <c r="D31" t="s">
        <v>48</v>
      </c>
      <c r="E31" t="s">
        <v>49</v>
      </c>
      <c r="F31" t="s">
        <v>5</v>
      </c>
      <c r="G31" s="3">
        <v>4</v>
      </c>
      <c r="H31" s="3">
        <v>3200</v>
      </c>
      <c r="I31" s="3">
        <v>12800</v>
      </c>
    </row>
    <row r="32" spans="1:21" x14ac:dyDescent="0.45">
      <c r="A32" t="s">
        <v>74</v>
      </c>
      <c r="B32" s="2">
        <v>46054</v>
      </c>
      <c r="C32" t="s">
        <v>37</v>
      </c>
      <c r="D32" t="s">
        <v>29</v>
      </c>
      <c r="E32" t="s">
        <v>30</v>
      </c>
      <c r="F32" t="s">
        <v>31</v>
      </c>
      <c r="G32" s="3">
        <v>7</v>
      </c>
      <c r="H32" s="3">
        <v>62000</v>
      </c>
      <c r="I32" s="3">
        <v>434000</v>
      </c>
      <c r="M32" s="1" t="s">
        <v>155</v>
      </c>
    </row>
    <row r="33" spans="1:21" x14ac:dyDescent="0.45">
      <c r="A33" t="s">
        <v>75</v>
      </c>
      <c r="B33" s="2">
        <v>46055</v>
      </c>
      <c r="C33" t="s">
        <v>41</v>
      </c>
      <c r="D33" t="s">
        <v>34</v>
      </c>
      <c r="E33" t="s">
        <v>30</v>
      </c>
      <c r="F33" t="s">
        <v>35</v>
      </c>
      <c r="G33" s="3">
        <v>10</v>
      </c>
      <c r="H33" s="3">
        <v>14000</v>
      </c>
      <c r="I33" s="3">
        <v>140000</v>
      </c>
      <c r="M33" t="str" cm="1">
        <f t="array" ref="M33:U54">_xlfn._xlws.FILTER(A2:I101,I2:I101&gt;100000)</f>
        <v>ORD-100001</v>
      </c>
      <c r="N33">
        <v>46024</v>
      </c>
      <c r="O33" t="str">
        <v>North</v>
      </c>
      <c r="P33" t="str">
        <v>Rahul</v>
      </c>
      <c r="Q33" t="str">
        <v>Electronics</v>
      </c>
      <c r="R33" t="str">
        <v>Laptop</v>
      </c>
      <c r="S33">
        <v>7</v>
      </c>
      <c r="T33">
        <v>62000</v>
      </c>
      <c r="U33">
        <v>434000</v>
      </c>
    </row>
    <row r="34" spans="1:21" x14ac:dyDescent="0.45">
      <c r="A34" t="s">
        <v>76</v>
      </c>
      <c r="B34" s="2">
        <v>46056</v>
      </c>
      <c r="C34" t="s">
        <v>28</v>
      </c>
      <c r="D34" t="s">
        <v>38</v>
      </c>
      <c r="E34" t="s">
        <v>39</v>
      </c>
      <c r="F34" t="s">
        <v>3</v>
      </c>
      <c r="G34" s="3">
        <v>3</v>
      </c>
      <c r="H34" s="3">
        <v>8500</v>
      </c>
      <c r="I34" s="3">
        <v>25500</v>
      </c>
      <c r="M34" t="str">
        <v>ORD-100002</v>
      </c>
      <c r="N34">
        <v>46025</v>
      </c>
      <c r="O34" t="str">
        <v>South</v>
      </c>
      <c r="P34" t="str">
        <v>Priya</v>
      </c>
      <c r="Q34" t="str">
        <v>Electronics</v>
      </c>
      <c r="R34" t="str">
        <v>Monitor</v>
      </c>
      <c r="S34">
        <v>10</v>
      </c>
      <c r="T34">
        <v>14000</v>
      </c>
      <c r="U34">
        <v>140000</v>
      </c>
    </row>
    <row r="35" spans="1:21" x14ac:dyDescent="0.45">
      <c r="A35" t="s">
        <v>77</v>
      </c>
      <c r="B35" s="2">
        <v>46057</v>
      </c>
      <c r="C35" t="s">
        <v>33</v>
      </c>
      <c r="D35" t="s">
        <v>42</v>
      </c>
      <c r="E35" t="s">
        <v>43</v>
      </c>
      <c r="F35" t="s">
        <v>44</v>
      </c>
      <c r="G35" s="3">
        <v>6</v>
      </c>
      <c r="H35" s="3">
        <v>1200</v>
      </c>
      <c r="I35" s="3">
        <v>7200</v>
      </c>
      <c r="M35" t="str">
        <v>ORD-100007</v>
      </c>
      <c r="N35">
        <v>46030</v>
      </c>
      <c r="O35" t="str">
        <v>East</v>
      </c>
      <c r="P35" t="str">
        <v>Rahul</v>
      </c>
      <c r="Q35" t="str">
        <v>Electronics</v>
      </c>
      <c r="R35" t="str">
        <v>Laptop</v>
      </c>
      <c r="S35">
        <v>5</v>
      </c>
      <c r="T35">
        <v>62000</v>
      </c>
      <c r="U35">
        <v>310000</v>
      </c>
    </row>
    <row r="36" spans="1:21" x14ac:dyDescent="0.45">
      <c r="A36" t="s">
        <v>78</v>
      </c>
      <c r="B36" s="2">
        <v>46058</v>
      </c>
      <c r="C36" t="s">
        <v>37</v>
      </c>
      <c r="D36" t="s">
        <v>46</v>
      </c>
      <c r="E36" t="s">
        <v>43</v>
      </c>
      <c r="F36" t="s">
        <v>4</v>
      </c>
      <c r="G36" s="3">
        <v>9</v>
      </c>
      <c r="H36" s="3">
        <v>900</v>
      </c>
      <c r="I36" s="3">
        <v>8100</v>
      </c>
      <c r="M36" t="str">
        <v>ORD-100008</v>
      </c>
      <c r="N36">
        <v>46031</v>
      </c>
      <c r="O36" t="str">
        <v>West</v>
      </c>
      <c r="P36" t="str">
        <v>Priya</v>
      </c>
      <c r="Q36" t="str">
        <v>Electronics</v>
      </c>
      <c r="R36" t="str">
        <v>Monitor</v>
      </c>
      <c r="S36">
        <v>8</v>
      </c>
      <c r="T36">
        <v>14000</v>
      </c>
      <c r="U36">
        <v>112000</v>
      </c>
    </row>
    <row r="37" spans="1:21" x14ac:dyDescent="0.45">
      <c r="A37" t="s">
        <v>79</v>
      </c>
      <c r="B37" s="2">
        <v>46059</v>
      </c>
      <c r="C37" t="s">
        <v>41</v>
      </c>
      <c r="D37" t="s">
        <v>48</v>
      </c>
      <c r="E37" t="s">
        <v>49</v>
      </c>
      <c r="F37" t="s">
        <v>5</v>
      </c>
      <c r="G37" s="3">
        <v>2</v>
      </c>
      <c r="H37" s="3">
        <v>3200</v>
      </c>
      <c r="I37" s="3">
        <v>6400</v>
      </c>
      <c r="M37" t="str">
        <v>ORD-100013</v>
      </c>
      <c r="N37">
        <v>46036</v>
      </c>
      <c r="O37" t="str">
        <v>North</v>
      </c>
      <c r="P37" t="str">
        <v>Rahul</v>
      </c>
      <c r="Q37" t="str">
        <v>Electronics</v>
      </c>
      <c r="R37" t="str">
        <v>Laptop</v>
      </c>
      <c r="S37">
        <v>3</v>
      </c>
      <c r="T37">
        <v>62000</v>
      </c>
      <c r="U37">
        <v>186000</v>
      </c>
    </row>
    <row r="38" spans="1:21" x14ac:dyDescent="0.45">
      <c r="A38" t="s">
        <v>80</v>
      </c>
      <c r="B38" s="2">
        <v>46060</v>
      </c>
      <c r="C38" t="s">
        <v>28</v>
      </c>
      <c r="D38" t="s">
        <v>29</v>
      </c>
      <c r="E38" t="s">
        <v>30</v>
      </c>
      <c r="F38" t="s">
        <v>31</v>
      </c>
      <c r="G38" s="3">
        <v>5</v>
      </c>
      <c r="H38" s="3">
        <v>62000</v>
      </c>
      <c r="I38" s="3">
        <v>310000</v>
      </c>
      <c r="M38" t="str">
        <v>ORD-100025</v>
      </c>
      <c r="N38">
        <v>46048</v>
      </c>
      <c r="O38" t="str">
        <v>North</v>
      </c>
      <c r="P38" t="str">
        <v>Rahul</v>
      </c>
      <c r="Q38" t="str">
        <v>Electronics</v>
      </c>
      <c r="R38" t="str">
        <v>Laptop</v>
      </c>
      <c r="S38">
        <v>9</v>
      </c>
      <c r="T38">
        <v>62000</v>
      </c>
      <c r="U38">
        <v>558000</v>
      </c>
    </row>
    <row r="39" spans="1:21" x14ac:dyDescent="0.45">
      <c r="A39" t="s">
        <v>81</v>
      </c>
      <c r="B39" s="2">
        <v>46061</v>
      </c>
      <c r="C39" t="s">
        <v>33</v>
      </c>
      <c r="D39" t="s">
        <v>34</v>
      </c>
      <c r="E39" t="s">
        <v>30</v>
      </c>
      <c r="F39" t="s">
        <v>35</v>
      </c>
      <c r="G39" s="3">
        <v>8</v>
      </c>
      <c r="H39" s="3">
        <v>14000</v>
      </c>
      <c r="I39" s="3">
        <v>112000</v>
      </c>
      <c r="M39" t="str">
        <v>ORD-100031</v>
      </c>
      <c r="N39">
        <v>46054</v>
      </c>
      <c r="O39" t="str">
        <v>East</v>
      </c>
      <c r="P39" t="str">
        <v>Rahul</v>
      </c>
      <c r="Q39" t="str">
        <v>Electronics</v>
      </c>
      <c r="R39" t="str">
        <v>Laptop</v>
      </c>
      <c r="S39">
        <v>7</v>
      </c>
      <c r="T39">
        <v>62000</v>
      </c>
      <c r="U39">
        <v>434000</v>
      </c>
    </row>
    <row r="40" spans="1:21" x14ac:dyDescent="0.45">
      <c r="A40" t="s">
        <v>82</v>
      </c>
      <c r="B40" s="2">
        <v>46062</v>
      </c>
      <c r="C40" t="s">
        <v>37</v>
      </c>
      <c r="D40" t="s">
        <v>38</v>
      </c>
      <c r="E40" t="s">
        <v>39</v>
      </c>
      <c r="F40" t="s">
        <v>3</v>
      </c>
      <c r="G40" s="3">
        <v>1</v>
      </c>
      <c r="H40" s="3">
        <v>8500</v>
      </c>
      <c r="I40" s="3">
        <v>8500</v>
      </c>
      <c r="M40" t="str">
        <v>ORD-100032</v>
      </c>
      <c r="N40">
        <v>46055</v>
      </c>
      <c r="O40" t="str">
        <v>West</v>
      </c>
      <c r="P40" t="str">
        <v>Priya</v>
      </c>
      <c r="Q40" t="str">
        <v>Electronics</v>
      </c>
      <c r="R40" t="str">
        <v>Monitor</v>
      </c>
      <c r="S40">
        <v>10</v>
      </c>
      <c r="T40">
        <v>14000</v>
      </c>
      <c r="U40">
        <v>140000</v>
      </c>
    </row>
    <row r="41" spans="1:21" x14ac:dyDescent="0.45">
      <c r="A41" t="s">
        <v>83</v>
      </c>
      <c r="B41" s="2">
        <v>46063</v>
      </c>
      <c r="C41" t="s">
        <v>41</v>
      </c>
      <c r="D41" t="s">
        <v>42</v>
      </c>
      <c r="E41" t="s">
        <v>43</v>
      </c>
      <c r="F41" t="s">
        <v>44</v>
      </c>
      <c r="G41" s="3">
        <v>4</v>
      </c>
      <c r="H41" s="3">
        <v>1200</v>
      </c>
      <c r="I41" s="3">
        <v>4800</v>
      </c>
      <c r="M41" t="str">
        <v>ORD-100037</v>
      </c>
      <c r="N41">
        <v>46060</v>
      </c>
      <c r="O41" t="str">
        <v>North</v>
      </c>
      <c r="P41" t="str">
        <v>Rahul</v>
      </c>
      <c r="Q41" t="str">
        <v>Electronics</v>
      </c>
      <c r="R41" t="str">
        <v>Laptop</v>
      </c>
      <c r="S41">
        <v>5</v>
      </c>
      <c r="T41">
        <v>62000</v>
      </c>
      <c r="U41">
        <v>310000</v>
      </c>
    </row>
    <row r="42" spans="1:21" x14ac:dyDescent="0.45">
      <c r="A42" t="s">
        <v>84</v>
      </c>
      <c r="B42" s="2">
        <v>46064</v>
      </c>
      <c r="C42" t="s">
        <v>28</v>
      </c>
      <c r="D42" t="s">
        <v>46</v>
      </c>
      <c r="E42" t="s">
        <v>43</v>
      </c>
      <c r="F42" t="s">
        <v>4</v>
      </c>
      <c r="G42" s="3">
        <v>7</v>
      </c>
      <c r="H42" s="3">
        <v>900</v>
      </c>
      <c r="I42" s="3">
        <v>6300</v>
      </c>
      <c r="M42" t="str">
        <v>ORD-100038</v>
      </c>
      <c r="N42">
        <v>46061</v>
      </c>
      <c r="O42" t="str">
        <v>South</v>
      </c>
      <c r="P42" t="str">
        <v>Priya</v>
      </c>
      <c r="Q42" t="str">
        <v>Electronics</v>
      </c>
      <c r="R42" t="str">
        <v>Monitor</v>
      </c>
      <c r="S42">
        <v>8</v>
      </c>
      <c r="T42">
        <v>14000</v>
      </c>
      <c r="U42">
        <v>112000</v>
      </c>
    </row>
    <row r="43" spans="1:21" x14ac:dyDescent="0.45">
      <c r="A43" t="s">
        <v>85</v>
      </c>
      <c r="B43" s="2">
        <v>46065</v>
      </c>
      <c r="C43" t="s">
        <v>33</v>
      </c>
      <c r="D43" t="s">
        <v>48</v>
      </c>
      <c r="E43" t="s">
        <v>49</v>
      </c>
      <c r="F43" t="s">
        <v>5</v>
      </c>
      <c r="G43" s="3">
        <v>10</v>
      </c>
      <c r="H43" s="3">
        <v>3200</v>
      </c>
      <c r="I43" s="3">
        <v>32000</v>
      </c>
      <c r="M43" t="str">
        <v>ORD-100043</v>
      </c>
      <c r="N43">
        <v>46066</v>
      </c>
      <c r="O43" t="str">
        <v>East</v>
      </c>
      <c r="P43" t="str">
        <v>Rahul</v>
      </c>
      <c r="Q43" t="str">
        <v>Electronics</v>
      </c>
      <c r="R43" t="str">
        <v>Laptop</v>
      </c>
      <c r="S43">
        <v>3</v>
      </c>
      <c r="T43">
        <v>62000</v>
      </c>
      <c r="U43">
        <v>186000</v>
      </c>
    </row>
    <row r="44" spans="1:21" x14ac:dyDescent="0.45">
      <c r="A44" t="s">
        <v>86</v>
      </c>
      <c r="B44" s="2">
        <v>46066</v>
      </c>
      <c r="C44" t="s">
        <v>37</v>
      </c>
      <c r="D44" t="s">
        <v>29</v>
      </c>
      <c r="E44" t="s">
        <v>30</v>
      </c>
      <c r="F44" t="s">
        <v>31</v>
      </c>
      <c r="G44" s="3">
        <v>3</v>
      </c>
      <c r="H44" s="3">
        <v>62000</v>
      </c>
      <c r="I44" s="3">
        <v>186000</v>
      </c>
      <c r="M44" t="str">
        <v>ORD-100055</v>
      </c>
      <c r="N44">
        <v>46078</v>
      </c>
      <c r="O44" t="str">
        <v>East</v>
      </c>
      <c r="P44" t="str">
        <v>Rahul</v>
      </c>
      <c r="Q44" t="str">
        <v>Electronics</v>
      </c>
      <c r="R44" t="str">
        <v>Laptop</v>
      </c>
      <c r="S44">
        <v>9</v>
      </c>
      <c r="T44">
        <v>62000</v>
      </c>
      <c r="U44">
        <v>558000</v>
      </c>
    </row>
    <row r="45" spans="1:21" x14ac:dyDescent="0.45">
      <c r="A45" t="s">
        <v>87</v>
      </c>
      <c r="B45" s="2">
        <v>46067</v>
      </c>
      <c r="C45" t="s">
        <v>41</v>
      </c>
      <c r="D45" t="s">
        <v>34</v>
      </c>
      <c r="E45" t="s">
        <v>30</v>
      </c>
      <c r="F45" t="s">
        <v>35</v>
      </c>
      <c r="G45" s="3">
        <v>6</v>
      </c>
      <c r="H45" s="3">
        <v>14000</v>
      </c>
      <c r="I45" s="3">
        <v>84000</v>
      </c>
      <c r="M45" t="str">
        <v>ORD-100061</v>
      </c>
      <c r="N45">
        <v>46024</v>
      </c>
      <c r="O45" t="str">
        <v>North</v>
      </c>
      <c r="P45" t="str">
        <v>Rahul</v>
      </c>
      <c r="Q45" t="str">
        <v>Electronics</v>
      </c>
      <c r="R45" t="str">
        <v>Laptop</v>
      </c>
      <c r="S45">
        <v>7</v>
      </c>
      <c r="T45">
        <v>62000</v>
      </c>
      <c r="U45">
        <v>434000</v>
      </c>
    </row>
    <row r="46" spans="1:21" x14ac:dyDescent="0.45">
      <c r="A46" t="s">
        <v>88</v>
      </c>
      <c r="B46" s="2">
        <v>46068</v>
      </c>
      <c r="C46" t="s">
        <v>28</v>
      </c>
      <c r="D46" t="s">
        <v>38</v>
      </c>
      <c r="E46" t="s">
        <v>39</v>
      </c>
      <c r="F46" t="s">
        <v>3</v>
      </c>
      <c r="G46" s="3">
        <v>9</v>
      </c>
      <c r="H46" s="3">
        <v>8500</v>
      </c>
      <c r="I46" s="3">
        <v>76500</v>
      </c>
      <c r="M46" t="str">
        <v>ORD-100062</v>
      </c>
      <c r="N46">
        <v>46025</v>
      </c>
      <c r="O46" t="str">
        <v>South</v>
      </c>
      <c r="P46" t="str">
        <v>Priya</v>
      </c>
      <c r="Q46" t="str">
        <v>Electronics</v>
      </c>
      <c r="R46" t="str">
        <v>Monitor</v>
      </c>
      <c r="S46">
        <v>10</v>
      </c>
      <c r="T46">
        <v>14000</v>
      </c>
      <c r="U46">
        <v>140000</v>
      </c>
    </row>
    <row r="47" spans="1:21" x14ac:dyDescent="0.45">
      <c r="A47" t="s">
        <v>89</v>
      </c>
      <c r="B47" s="2">
        <v>46069</v>
      </c>
      <c r="C47" t="s">
        <v>33</v>
      </c>
      <c r="D47" t="s">
        <v>42</v>
      </c>
      <c r="E47" t="s">
        <v>43</v>
      </c>
      <c r="F47" t="s">
        <v>44</v>
      </c>
      <c r="G47" s="3">
        <v>2</v>
      </c>
      <c r="H47" s="3">
        <v>1200</v>
      </c>
      <c r="I47" s="3">
        <v>2400</v>
      </c>
      <c r="M47" t="str">
        <v>ORD-100067</v>
      </c>
      <c r="N47">
        <v>46030</v>
      </c>
      <c r="O47" t="str">
        <v>East</v>
      </c>
      <c r="P47" t="str">
        <v>Rahul</v>
      </c>
      <c r="Q47" t="str">
        <v>Electronics</v>
      </c>
      <c r="R47" t="str">
        <v>Laptop</v>
      </c>
      <c r="S47">
        <v>5</v>
      </c>
      <c r="T47">
        <v>62000</v>
      </c>
      <c r="U47">
        <v>310000</v>
      </c>
    </row>
    <row r="48" spans="1:21" x14ac:dyDescent="0.45">
      <c r="A48" t="s">
        <v>90</v>
      </c>
      <c r="B48" s="2">
        <v>46070</v>
      </c>
      <c r="C48" t="s">
        <v>37</v>
      </c>
      <c r="D48" t="s">
        <v>46</v>
      </c>
      <c r="E48" t="s">
        <v>43</v>
      </c>
      <c r="F48" t="s">
        <v>4</v>
      </c>
      <c r="G48" s="3">
        <v>5</v>
      </c>
      <c r="H48" s="3">
        <v>900</v>
      </c>
      <c r="I48" s="3">
        <v>4500</v>
      </c>
      <c r="M48" t="str">
        <v>ORD-100068</v>
      </c>
      <c r="N48">
        <v>46031</v>
      </c>
      <c r="O48" t="str">
        <v>West</v>
      </c>
      <c r="P48" t="str">
        <v>Priya</v>
      </c>
      <c r="Q48" t="str">
        <v>Electronics</v>
      </c>
      <c r="R48" t="str">
        <v>Monitor</v>
      </c>
      <c r="S48">
        <v>8</v>
      </c>
      <c r="T48">
        <v>14000</v>
      </c>
      <c r="U48">
        <v>112000</v>
      </c>
    </row>
    <row r="49" spans="1:21" x14ac:dyDescent="0.45">
      <c r="A49" t="s">
        <v>91</v>
      </c>
      <c r="B49" s="2">
        <v>46071</v>
      </c>
      <c r="C49" t="s">
        <v>41</v>
      </c>
      <c r="D49" t="s">
        <v>48</v>
      </c>
      <c r="E49" t="s">
        <v>49</v>
      </c>
      <c r="F49" t="s">
        <v>5</v>
      </c>
      <c r="G49" s="3">
        <v>8</v>
      </c>
      <c r="H49" s="3">
        <v>3200</v>
      </c>
      <c r="I49" s="3">
        <v>25600</v>
      </c>
      <c r="M49" t="str">
        <v>ORD-100073</v>
      </c>
      <c r="N49">
        <v>46036</v>
      </c>
      <c r="O49" t="str">
        <v>North</v>
      </c>
      <c r="P49" t="str">
        <v>Rahul</v>
      </c>
      <c r="Q49" t="str">
        <v>Electronics</v>
      </c>
      <c r="R49" t="str">
        <v>Laptop</v>
      </c>
      <c r="S49">
        <v>3</v>
      </c>
      <c r="T49">
        <v>62000</v>
      </c>
      <c r="U49">
        <v>186000</v>
      </c>
    </row>
    <row r="50" spans="1:21" x14ac:dyDescent="0.45">
      <c r="A50" t="s">
        <v>92</v>
      </c>
      <c r="B50" s="2">
        <v>46072</v>
      </c>
      <c r="C50" t="s">
        <v>28</v>
      </c>
      <c r="D50" t="s">
        <v>29</v>
      </c>
      <c r="E50" t="s">
        <v>30</v>
      </c>
      <c r="F50" t="s">
        <v>31</v>
      </c>
      <c r="G50" s="3">
        <v>1</v>
      </c>
      <c r="H50" s="3">
        <v>62000</v>
      </c>
      <c r="I50" s="3">
        <v>62000</v>
      </c>
      <c r="M50" t="str">
        <v>ORD-100085</v>
      </c>
      <c r="N50">
        <v>46048</v>
      </c>
      <c r="O50" t="str">
        <v>North</v>
      </c>
      <c r="P50" t="str">
        <v>Rahul</v>
      </c>
      <c r="Q50" t="str">
        <v>Electronics</v>
      </c>
      <c r="R50" t="str">
        <v>Laptop</v>
      </c>
      <c r="S50">
        <v>9</v>
      </c>
      <c r="T50">
        <v>62000</v>
      </c>
      <c r="U50">
        <v>558000</v>
      </c>
    </row>
    <row r="51" spans="1:21" x14ac:dyDescent="0.45">
      <c r="A51" t="s">
        <v>93</v>
      </c>
      <c r="B51" s="2">
        <v>46073</v>
      </c>
      <c r="C51" t="s">
        <v>33</v>
      </c>
      <c r="D51" t="s">
        <v>34</v>
      </c>
      <c r="E51" t="s">
        <v>30</v>
      </c>
      <c r="F51" t="s">
        <v>35</v>
      </c>
      <c r="G51" s="3">
        <v>4</v>
      </c>
      <c r="H51" s="3">
        <v>14000</v>
      </c>
      <c r="I51" s="3">
        <v>56000</v>
      </c>
      <c r="M51" t="str">
        <v>ORD-100091</v>
      </c>
      <c r="N51">
        <v>46054</v>
      </c>
      <c r="O51" t="str">
        <v>East</v>
      </c>
      <c r="P51" t="str">
        <v>Rahul</v>
      </c>
      <c r="Q51" t="str">
        <v>Electronics</v>
      </c>
      <c r="R51" t="str">
        <v>Laptop</v>
      </c>
      <c r="S51">
        <v>7</v>
      </c>
      <c r="T51">
        <v>62000</v>
      </c>
      <c r="U51">
        <v>434000</v>
      </c>
    </row>
    <row r="52" spans="1:21" x14ac:dyDescent="0.45">
      <c r="A52" t="s">
        <v>94</v>
      </c>
      <c r="B52" s="2">
        <v>46074</v>
      </c>
      <c r="C52" t="s">
        <v>37</v>
      </c>
      <c r="D52" t="s">
        <v>38</v>
      </c>
      <c r="E52" t="s">
        <v>39</v>
      </c>
      <c r="F52" t="s">
        <v>3</v>
      </c>
      <c r="G52" s="3">
        <v>7</v>
      </c>
      <c r="H52" s="3">
        <v>8500</v>
      </c>
      <c r="I52" s="3">
        <v>59500</v>
      </c>
      <c r="M52" t="str">
        <v>ORD-100092</v>
      </c>
      <c r="N52">
        <v>46055</v>
      </c>
      <c r="O52" t="str">
        <v>West</v>
      </c>
      <c r="P52" t="str">
        <v>Priya</v>
      </c>
      <c r="Q52" t="str">
        <v>Electronics</v>
      </c>
      <c r="R52" t="str">
        <v>Monitor</v>
      </c>
      <c r="S52">
        <v>10</v>
      </c>
      <c r="T52">
        <v>14000</v>
      </c>
      <c r="U52">
        <v>140000</v>
      </c>
    </row>
    <row r="53" spans="1:21" x14ac:dyDescent="0.45">
      <c r="A53" t="s">
        <v>95</v>
      </c>
      <c r="B53" s="2">
        <v>46075</v>
      </c>
      <c r="C53" t="s">
        <v>41</v>
      </c>
      <c r="D53" t="s">
        <v>42</v>
      </c>
      <c r="E53" t="s">
        <v>43</v>
      </c>
      <c r="F53" t="s">
        <v>44</v>
      </c>
      <c r="G53" s="3">
        <v>10</v>
      </c>
      <c r="H53" s="3">
        <v>1200</v>
      </c>
      <c r="I53" s="3">
        <v>12000</v>
      </c>
      <c r="M53" t="str">
        <v>ORD-100097</v>
      </c>
      <c r="N53">
        <v>46060</v>
      </c>
      <c r="O53" t="str">
        <v>North</v>
      </c>
      <c r="P53" t="str">
        <v>Rahul</v>
      </c>
      <c r="Q53" t="str">
        <v>Electronics</v>
      </c>
      <c r="R53" t="str">
        <v>Laptop</v>
      </c>
      <c r="S53">
        <v>5</v>
      </c>
      <c r="T53">
        <v>62000</v>
      </c>
      <c r="U53">
        <v>310000</v>
      </c>
    </row>
    <row r="54" spans="1:21" x14ac:dyDescent="0.45">
      <c r="A54" t="s">
        <v>96</v>
      </c>
      <c r="B54" s="2">
        <v>46076</v>
      </c>
      <c r="C54" t="s">
        <v>28</v>
      </c>
      <c r="D54" t="s">
        <v>46</v>
      </c>
      <c r="E54" t="s">
        <v>43</v>
      </c>
      <c r="F54" t="s">
        <v>4</v>
      </c>
      <c r="G54" s="3">
        <v>3</v>
      </c>
      <c r="H54" s="3">
        <v>900</v>
      </c>
      <c r="I54" s="3">
        <v>2700</v>
      </c>
      <c r="M54" t="str">
        <v>ORD-100098</v>
      </c>
      <c r="N54">
        <v>46061</v>
      </c>
      <c r="O54" t="str">
        <v>South</v>
      </c>
      <c r="P54" t="str">
        <v>Priya</v>
      </c>
      <c r="Q54" t="str">
        <v>Electronics</v>
      </c>
      <c r="R54" t="str">
        <v>Monitor</v>
      </c>
      <c r="S54">
        <v>8</v>
      </c>
      <c r="T54">
        <v>14000</v>
      </c>
      <c r="U54">
        <v>112000</v>
      </c>
    </row>
    <row r="55" spans="1:21" x14ac:dyDescent="0.45">
      <c r="A55" t="s">
        <v>97</v>
      </c>
      <c r="B55" s="2">
        <v>46077</v>
      </c>
      <c r="C55" t="s">
        <v>33</v>
      </c>
      <c r="D55" t="s">
        <v>48</v>
      </c>
      <c r="E55" t="s">
        <v>49</v>
      </c>
      <c r="F55" t="s">
        <v>5</v>
      </c>
      <c r="G55" s="3">
        <v>6</v>
      </c>
      <c r="H55" s="3">
        <v>3200</v>
      </c>
      <c r="I55" s="3">
        <v>19200</v>
      </c>
    </row>
    <row r="56" spans="1:21" x14ac:dyDescent="0.45">
      <c r="A56" t="s">
        <v>98</v>
      </c>
      <c r="B56" s="2">
        <v>46078</v>
      </c>
      <c r="C56" t="s">
        <v>37</v>
      </c>
      <c r="D56" t="s">
        <v>29</v>
      </c>
      <c r="E56" t="s">
        <v>30</v>
      </c>
      <c r="F56" t="s">
        <v>31</v>
      </c>
      <c r="G56" s="3">
        <v>9</v>
      </c>
      <c r="H56" s="3">
        <v>62000</v>
      </c>
      <c r="I56" s="3">
        <v>558000</v>
      </c>
    </row>
    <row r="57" spans="1:21" x14ac:dyDescent="0.45">
      <c r="A57" t="s">
        <v>99</v>
      </c>
      <c r="B57" s="2">
        <v>46079</v>
      </c>
      <c r="C57" t="s">
        <v>41</v>
      </c>
      <c r="D57" t="s">
        <v>34</v>
      </c>
      <c r="E57" t="s">
        <v>30</v>
      </c>
      <c r="F57" t="s">
        <v>35</v>
      </c>
      <c r="G57" s="3">
        <v>2</v>
      </c>
      <c r="H57" s="3">
        <v>14000</v>
      </c>
      <c r="I57" s="3">
        <v>28000</v>
      </c>
    </row>
    <row r="58" spans="1:21" x14ac:dyDescent="0.45">
      <c r="A58" t="s">
        <v>100</v>
      </c>
      <c r="B58" s="2">
        <v>46080</v>
      </c>
      <c r="C58" t="s">
        <v>28</v>
      </c>
      <c r="D58" t="s">
        <v>38</v>
      </c>
      <c r="E58" t="s">
        <v>39</v>
      </c>
      <c r="F58" t="s">
        <v>3</v>
      </c>
      <c r="G58" s="3">
        <v>5</v>
      </c>
      <c r="H58" s="3">
        <v>8500</v>
      </c>
      <c r="I58" s="3">
        <v>42500</v>
      </c>
    </row>
    <row r="59" spans="1:21" x14ac:dyDescent="0.45">
      <c r="A59" t="s">
        <v>101</v>
      </c>
      <c r="B59" s="2">
        <v>46081</v>
      </c>
      <c r="C59" t="s">
        <v>33</v>
      </c>
      <c r="D59" t="s">
        <v>42</v>
      </c>
      <c r="E59" t="s">
        <v>43</v>
      </c>
      <c r="F59" t="s">
        <v>44</v>
      </c>
      <c r="G59" s="3">
        <v>8</v>
      </c>
      <c r="H59" s="3">
        <v>1200</v>
      </c>
      <c r="I59" s="3">
        <v>9600</v>
      </c>
    </row>
    <row r="60" spans="1:21" x14ac:dyDescent="0.45">
      <c r="A60" t="s">
        <v>102</v>
      </c>
      <c r="B60" s="2">
        <v>46082</v>
      </c>
      <c r="C60" t="s">
        <v>37</v>
      </c>
      <c r="D60" t="s">
        <v>46</v>
      </c>
      <c r="E60" t="s">
        <v>43</v>
      </c>
      <c r="F60" t="s">
        <v>4</v>
      </c>
      <c r="G60" s="3">
        <v>1</v>
      </c>
      <c r="H60" s="3">
        <v>900</v>
      </c>
      <c r="I60" s="3">
        <v>900</v>
      </c>
    </row>
    <row r="61" spans="1:21" x14ac:dyDescent="0.45">
      <c r="A61" t="s">
        <v>103</v>
      </c>
      <c r="B61" s="2">
        <v>46083</v>
      </c>
      <c r="C61" t="s">
        <v>41</v>
      </c>
      <c r="D61" t="s">
        <v>48</v>
      </c>
      <c r="E61" t="s">
        <v>49</v>
      </c>
      <c r="F61" t="s">
        <v>5</v>
      </c>
      <c r="G61" s="3">
        <v>4</v>
      </c>
      <c r="H61" s="3">
        <v>3200</v>
      </c>
      <c r="I61" s="3">
        <v>12800</v>
      </c>
    </row>
    <row r="62" spans="1:21" x14ac:dyDescent="0.45">
      <c r="A62" t="s">
        <v>104</v>
      </c>
      <c r="B62" s="2">
        <v>46024</v>
      </c>
      <c r="C62" t="s">
        <v>28</v>
      </c>
      <c r="D62" t="s">
        <v>29</v>
      </c>
      <c r="E62" t="s">
        <v>30</v>
      </c>
      <c r="F62" t="s">
        <v>31</v>
      </c>
      <c r="G62" s="3">
        <v>7</v>
      </c>
      <c r="H62" s="3">
        <v>62000</v>
      </c>
      <c r="I62" s="3">
        <v>434000</v>
      </c>
    </row>
    <row r="63" spans="1:21" x14ac:dyDescent="0.45">
      <c r="A63" t="s">
        <v>105</v>
      </c>
      <c r="B63" s="2">
        <v>46025</v>
      </c>
      <c r="C63" t="s">
        <v>33</v>
      </c>
      <c r="D63" t="s">
        <v>34</v>
      </c>
      <c r="E63" t="s">
        <v>30</v>
      </c>
      <c r="F63" t="s">
        <v>35</v>
      </c>
      <c r="G63" s="3">
        <v>10</v>
      </c>
      <c r="H63" s="3">
        <v>14000</v>
      </c>
      <c r="I63" s="3">
        <v>140000</v>
      </c>
    </row>
    <row r="64" spans="1:21" x14ac:dyDescent="0.45">
      <c r="A64" t="s">
        <v>106</v>
      </c>
      <c r="B64" s="2">
        <v>46026</v>
      </c>
      <c r="C64" t="s">
        <v>37</v>
      </c>
      <c r="D64" t="s">
        <v>38</v>
      </c>
      <c r="E64" t="s">
        <v>39</v>
      </c>
      <c r="F64" t="s">
        <v>3</v>
      </c>
      <c r="G64" s="3">
        <v>3</v>
      </c>
      <c r="H64" s="3">
        <v>8500</v>
      </c>
      <c r="I64" s="3">
        <v>25500</v>
      </c>
    </row>
    <row r="65" spans="1:9" x14ac:dyDescent="0.45">
      <c r="A65" t="s">
        <v>107</v>
      </c>
      <c r="B65" s="2">
        <v>46027</v>
      </c>
      <c r="C65" t="s">
        <v>41</v>
      </c>
      <c r="D65" t="s">
        <v>42</v>
      </c>
      <c r="E65" t="s">
        <v>43</v>
      </c>
      <c r="F65" t="s">
        <v>44</v>
      </c>
      <c r="G65" s="3">
        <v>6</v>
      </c>
      <c r="H65" s="3">
        <v>1200</v>
      </c>
      <c r="I65" s="3">
        <v>7200</v>
      </c>
    </row>
    <row r="66" spans="1:9" x14ac:dyDescent="0.45">
      <c r="A66" t="s">
        <v>108</v>
      </c>
      <c r="B66" s="2">
        <v>46028</v>
      </c>
      <c r="C66" t="s">
        <v>28</v>
      </c>
      <c r="D66" t="s">
        <v>46</v>
      </c>
      <c r="E66" t="s">
        <v>43</v>
      </c>
      <c r="F66" t="s">
        <v>4</v>
      </c>
      <c r="G66" s="3">
        <v>9</v>
      </c>
      <c r="H66" s="3">
        <v>900</v>
      </c>
      <c r="I66" s="3">
        <v>8100</v>
      </c>
    </row>
    <row r="67" spans="1:9" x14ac:dyDescent="0.45">
      <c r="A67" t="s">
        <v>109</v>
      </c>
      <c r="B67" s="2">
        <v>46029</v>
      </c>
      <c r="C67" t="s">
        <v>33</v>
      </c>
      <c r="D67" t="s">
        <v>48</v>
      </c>
      <c r="E67" t="s">
        <v>49</v>
      </c>
      <c r="F67" t="s">
        <v>5</v>
      </c>
      <c r="G67" s="3">
        <v>2</v>
      </c>
      <c r="H67" s="3">
        <v>3200</v>
      </c>
      <c r="I67" s="3">
        <v>6400</v>
      </c>
    </row>
    <row r="68" spans="1:9" x14ac:dyDescent="0.45">
      <c r="A68" t="s">
        <v>110</v>
      </c>
      <c r="B68" s="2">
        <v>46030</v>
      </c>
      <c r="C68" t="s">
        <v>37</v>
      </c>
      <c r="D68" t="s">
        <v>29</v>
      </c>
      <c r="E68" t="s">
        <v>30</v>
      </c>
      <c r="F68" t="s">
        <v>31</v>
      </c>
      <c r="G68" s="3">
        <v>5</v>
      </c>
      <c r="H68" s="3">
        <v>62000</v>
      </c>
      <c r="I68" s="3">
        <v>310000</v>
      </c>
    </row>
    <row r="69" spans="1:9" x14ac:dyDescent="0.45">
      <c r="A69" t="s">
        <v>111</v>
      </c>
      <c r="B69" s="2">
        <v>46031</v>
      </c>
      <c r="C69" t="s">
        <v>41</v>
      </c>
      <c r="D69" t="s">
        <v>34</v>
      </c>
      <c r="E69" t="s">
        <v>30</v>
      </c>
      <c r="F69" t="s">
        <v>35</v>
      </c>
      <c r="G69" s="3">
        <v>8</v>
      </c>
      <c r="H69" s="3">
        <v>14000</v>
      </c>
      <c r="I69" s="3">
        <v>112000</v>
      </c>
    </row>
    <row r="70" spans="1:9" x14ac:dyDescent="0.45">
      <c r="A70" t="s">
        <v>112</v>
      </c>
      <c r="B70" s="2">
        <v>46032</v>
      </c>
      <c r="C70" t="s">
        <v>28</v>
      </c>
      <c r="D70" t="s">
        <v>38</v>
      </c>
      <c r="E70" t="s">
        <v>39</v>
      </c>
      <c r="F70" t="s">
        <v>3</v>
      </c>
      <c r="G70" s="3">
        <v>1</v>
      </c>
      <c r="H70" s="3">
        <v>8500</v>
      </c>
      <c r="I70" s="3">
        <v>8500</v>
      </c>
    </row>
    <row r="71" spans="1:9" x14ac:dyDescent="0.45">
      <c r="A71" t="s">
        <v>113</v>
      </c>
      <c r="B71" s="2">
        <v>46033</v>
      </c>
      <c r="C71" t="s">
        <v>33</v>
      </c>
      <c r="D71" t="s">
        <v>42</v>
      </c>
      <c r="E71" t="s">
        <v>43</v>
      </c>
      <c r="F71" t="s">
        <v>44</v>
      </c>
      <c r="G71" s="3">
        <v>4</v>
      </c>
      <c r="H71" s="3">
        <v>1200</v>
      </c>
      <c r="I71" s="3">
        <v>4800</v>
      </c>
    </row>
    <row r="72" spans="1:9" x14ac:dyDescent="0.45">
      <c r="A72" t="s">
        <v>114</v>
      </c>
      <c r="B72" s="2">
        <v>46034</v>
      </c>
      <c r="C72" t="s">
        <v>37</v>
      </c>
      <c r="D72" t="s">
        <v>46</v>
      </c>
      <c r="E72" t="s">
        <v>43</v>
      </c>
      <c r="F72" t="s">
        <v>4</v>
      </c>
      <c r="G72" s="3">
        <v>7</v>
      </c>
      <c r="H72" s="3">
        <v>900</v>
      </c>
      <c r="I72" s="3">
        <v>6300</v>
      </c>
    </row>
    <row r="73" spans="1:9" x14ac:dyDescent="0.45">
      <c r="A73" t="s">
        <v>115</v>
      </c>
      <c r="B73" s="2">
        <v>46035</v>
      </c>
      <c r="C73" t="s">
        <v>41</v>
      </c>
      <c r="D73" t="s">
        <v>48</v>
      </c>
      <c r="E73" t="s">
        <v>49</v>
      </c>
      <c r="F73" t="s">
        <v>5</v>
      </c>
      <c r="G73" s="3">
        <v>10</v>
      </c>
      <c r="H73" s="3">
        <v>3200</v>
      </c>
      <c r="I73" s="3">
        <v>32000</v>
      </c>
    </row>
    <row r="74" spans="1:9" x14ac:dyDescent="0.45">
      <c r="A74" t="s">
        <v>116</v>
      </c>
      <c r="B74" s="2">
        <v>46036</v>
      </c>
      <c r="C74" t="s">
        <v>28</v>
      </c>
      <c r="D74" t="s">
        <v>29</v>
      </c>
      <c r="E74" t="s">
        <v>30</v>
      </c>
      <c r="F74" t="s">
        <v>31</v>
      </c>
      <c r="G74" s="3">
        <v>3</v>
      </c>
      <c r="H74" s="3">
        <v>62000</v>
      </c>
      <c r="I74" s="3">
        <v>186000</v>
      </c>
    </row>
    <row r="75" spans="1:9" x14ac:dyDescent="0.45">
      <c r="A75" t="s">
        <v>117</v>
      </c>
      <c r="B75" s="2">
        <v>46037</v>
      </c>
      <c r="C75" t="s">
        <v>33</v>
      </c>
      <c r="D75" t="s">
        <v>34</v>
      </c>
      <c r="E75" t="s">
        <v>30</v>
      </c>
      <c r="F75" t="s">
        <v>35</v>
      </c>
      <c r="G75" s="3">
        <v>6</v>
      </c>
      <c r="H75" s="3">
        <v>14000</v>
      </c>
      <c r="I75" s="3">
        <v>84000</v>
      </c>
    </row>
    <row r="76" spans="1:9" x14ac:dyDescent="0.45">
      <c r="A76" t="s">
        <v>118</v>
      </c>
      <c r="B76" s="2">
        <v>46038</v>
      </c>
      <c r="C76" t="s">
        <v>37</v>
      </c>
      <c r="D76" t="s">
        <v>38</v>
      </c>
      <c r="E76" t="s">
        <v>39</v>
      </c>
      <c r="F76" t="s">
        <v>3</v>
      </c>
      <c r="G76" s="3">
        <v>9</v>
      </c>
      <c r="H76" s="3">
        <v>8500</v>
      </c>
      <c r="I76" s="3">
        <v>76500</v>
      </c>
    </row>
    <row r="77" spans="1:9" x14ac:dyDescent="0.45">
      <c r="A77" t="s">
        <v>119</v>
      </c>
      <c r="B77" s="2">
        <v>46039</v>
      </c>
      <c r="C77" t="s">
        <v>41</v>
      </c>
      <c r="D77" t="s">
        <v>42</v>
      </c>
      <c r="E77" t="s">
        <v>43</v>
      </c>
      <c r="F77" t="s">
        <v>44</v>
      </c>
      <c r="G77" s="3">
        <v>2</v>
      </c>
      <c r="H77" s="3">
        <v>1200</v>
      </c>
      <c r="I77" s="3">
        <v>2400</v>
      </c>
    </row>
    <row r="78" spans="1:9" x14ac:dyDescent="0.45">
      <c r="A78" t="s">
        <v>120</v>
      </c>
      <c r="B78" s="2">
        <v>46040</v>
      </c>
      <c r="C78" t="s">
        <v>28</v>
      </c>
      <c r="D78" t="s">
        <v>46</v>
      </c>
      <c r="E78" t="s">
        <v>43</v>
      </c>
      <c r="F78" t="s">
        <v>4</v>
      </c>
      <c r="G78" s="3">
        <v>5</v>
      </c>
      <c r="H78" s="3">
        <v>900</v>
      </c>
      <c r="I78" s="3">
        <v>4500</v>
      </c>
    </row>
    <row r="79" spans="1:9" x14ac:dyDescent="0.45">
      <c r="A79" t="s">
        <v>121</v>
      </c>
      <c r="B79" s="2">
        <v>46041</v>
      </c>
      <c r="C79" t="s">
        <v>33</v>
      </c>
      <c r="D79" t="s">
        <v>48</v>
      </c>
      <c r="E79" t="s">
        <v>49</v>
      </c>
      <c r="F79" t="s">
        <v>5</v>
      </c>
      <c r="G79" s="3">
        <v>8</v>
      </c>
      <c r="H79" s="3">
        <v>3200</v>
      </c>
      <c r="I79" s="3">
        <v>25600</v>
      </c>
    </row>
    <row r="80" spans="1:9" x14ac:dyDescent="0.45">
      <c r="A80" t="s">
        <v>122</v>
      </c>
      <c r="B80" s="2">
        <v>46042</v>
      </c>
      <c r="C80" t="s">
        <v>37</v>
      </c>
      <c r="D80" t="s">
        <v>29</v>
      </c>
      <c r="E80" t="s">
        <v>30</v>
      </c>
      <c r="F80" t="s">
        <v>31</v>
      </c>
      <c r="G80" s="3">
        <v>1</v>
      </c>
      <c r="H80" s="3">
        <v>62000</v>
      </c>
      <c r="I80" s="3">
        <v>62000</v>
      </c>
    </row>
    <row r="81" spans="1:9" x14ac:dyDescent="0.45">
      <c r="A81" t="s">
        <v>123</v>
      </c>
      <c r="B81" s="2">
        <v>46043</v>
      </c>
      <c r="C81" t="s">
        <v>41</v>
      </c>
      <c r="D81" t="s">
        <v>34</v>
      </c>
      <c r="E81" t="s">
        <v>30</v>
      </c>
      <c r="F81" t="s">
        <v>35</v>
      </c>
      <c r="G81" s="3">
        <v>4</v>
      </c>
      <c r="H81" s="3">
        <v>14000</v>
      </c>
      <c r="I81" s="3">
        <v>56000</v>
      </c>
    </row>
    <row r="82" spans="1:9" x14ac:dyDescent="0.45">
      <c r="A82" t="s">
        <v>124</v>
      </c>
      <c r="B82" s="2">
        <v>46044</v>
      </c>
      <c r="C82" t="s">
        <v>28</v>
      </c>
      <c r="D82" t="s">
        <v>38</v>
      </c>
      <c r="E82" t="s">
        <v>39</v>
      </c>
      <c r="F82" t="s">
        <v>3</v>
      </c>
      <c r="G82" s="3">
        <v>7</v>
      </c>
      <c r="H82" s="3">
        <v>8500</v>
      </c>
      <c r="I82" s="3">
        <v>59500</v>
      </c>
    </row>
    <row r="83" spans="1:9" x14ac:dyDescent="0.45">
      <c r="A83" t="s">
        <v>125</v>
      </c>
      <c r="B83" s="2">
        <v>46045</v>
      </c>
      <c r="C83" t="s">
        <v>33</v>
      </c>
      <c r="D83" t="s">
        <v>42</v>
      </c>
      <c r="E83" t="s">
        <v>43</v>
      </c>
      <c r="F83" t="s">
        <v>44</v>
      </c>
      <c r="G83" s="3">
        <v>10</v>
      </c>
      <c r="H83" s="3">
        <v>1200</v>
      </c>
      <c r="I83" s="3">
        <v>12000</v>
      </c>
    </row>
    <row r="84" spans="1:9" x14ac:dyDescent="0.45">
      <c r="A84" t="s">
        <v>126</v>
      </c>
      <c r="B84" s="2">
        <v>46046</v>
      </c>
      <c r="C84" t="s">
        <v>37</v>
      </c>
      <c r="D84" t="s">
        <v>46</v>
      </c>
      <c r="E84" t="s">
        <v>43</v>
      </c>
      <c r="F84" t="s">
        <v>4</v>
      </c>
      <c r="G84" s="3">
        <v>3</v>
      </c>
      <c r="H84" s="3">
        <v>900</v>
      </c>
      <c r="I84" s="3">
        <v>2700</v>
      </c>
    </row>
    <row r="85" spans="1:9" x14ac:dyDescent="0.45">
      <c r="A85" t="s">
        <v>127</v>
      </c>
      <c r="B85" s="2">
        <v>46047</v>
      </c>
      <c r="C85" t="s">
        <v>41</v>
      </c>
      <c r="D85" t="s">
        <v>48</v>
      </c>
      <c r="E85" t="s">
        <v>49</v>
      </c>
      <c r="F85" t="s">
        <v>5</v>
      </c>
      <c r="G85" s="3">
        <v>6</v>
      </c>
      <c r="H85" s="3">
        <v>3200</v>
      </c>
      <c r="I85" s="3">
        <v>19200</v>
      </c>
    </row>
    <row r="86" spans="1:9" x14ac:dyDescent="0.45">
      <c r="A86" t="s">
        <v>128</v>
      </c>
      <c r="B86" s="2">
        <v>46048</v>
      </c>
      <c r="C86" t="s">
        <v>28</v>
      </c>
      <c r="D86" t="s">
        <v>29</v>
      </c>
      <c r="E86" t="s">
        <v>30</v>
      </c>
      <c r="F86" t="s">
        <v>31</v>
      </c>
      <c r="G86" s="3">
        <v>9</v>
      </c>
      <c r="H86" s="3">
        <v>62000</v>
      </c>
      <c r="I86" s="3">
        <v>558000</v>
      </c>
    </row>
    <row r="87" spans="1:9" x14ac:dyDescent="0.45">
      <c r="A87" t="s">
        <v>129</v>
      </c>
      <c r="B87" s="2">
        <v>46049</v>
      </c>
      <c r="C87" t="s">
        <v>33</v>
      </c>
      <c r="D87" t="s">
        <v>34</v>
      </c>
      <c r="E87" t="s">
        <v>30</v>
      </c>
      <c r="F87" t="s">
        <v>35</v>
      </c>
      <c r="G87" s="3">
        <v>2</v>
      </c>
      <c r="H87" s="3">
        <v>14000</v>
      </c>
      <c r="I87" s="3">
        <v>28000</v>
      </c>
    </row>
    <row r="88" spans="1:9" x14ac:dyDescent="0.45">
      <c r="A88" t="s">
        <v>130</v>
      </c>
      <c r="B88" s="2">
        <v>46050</v>
      </c>
      <c r="C88" t="s">
        <v>37</v>
      </c>
      <c r="D88" t="s">
        <v>38</v>
      </c>
      <c r="E88" t="s">
        <v>39</v>
      </c>
      <c r="F88" t="s">
        <v>3</v>
      </c>
      <c r="G88" s="3">
        <v>5</v>
      </c>
      <c r="H88" s="3">
        <v>8500</v>
      </c>
      <c r="I88" s="3">
        <v>42500</v>
      </c>
    </row>
    <row r="89" spans="1:9" x14ac:dyDescent="0.45">
      <c r="A89" t="s">
        <v>131</v>
      </c>
      <c r="B89" s="2">
        <v>46051</v>
      </c>
      <c r="C89" t="s">
        <v>41</v>
      </c>
      <c r="D89" t="s">
        <v>42</v>
      </c>
      <c r="E89" t="s">
        <v>43</v>
      </c>
      <c r="F89" t="s">
        <v>44</v>
      </c>
      <c r="G89" s="3">
        <v>8</v>
      </c>
      <c r="H89" s="3">
        <v>1200</v>
      </c>
      <c r="I89" s="3">
        <v>9600</v>
      </c>
    </row>
    <row r="90" spans="1:9" x14ac:dyDescent="0.45">
      <c r="A90" t="s">
        <v>132</v>
      </c>
      <c r="B90" s="2">
        <v>46052</v>
      </c>
      <c r="C90" t="s">
        <v>28</v>
      </c>
      <c r="D90" t="s">
        <v>46</v>
      </c>
      <c r="E90" t="s">
        <v>43</v>
      </c>
      <c r="F90" t="s">
        <v>4</v>
      </c>
      <c r="G90" s="3">
        <v>1</v>
      </c>
      <c r="H90" s="3">
        <v>900</v>
      </c>
      <c r="I90" s="3">
        <v>900</v>
      </c>
    </row>
    <row r="91" spans="1:9" x14ac:dyDescent="0.45">
      <c r="A91" t="s">
        <v>133</v>
      </c>
      <c r="B91" s="2">
        <v>46053</v>
      </c>
      <c r="C91" t="s">
        <v>33</v>
      </c>
      <c r="D91" t="s">
        <v>48</v>
      </c>
      <c r="E91" t="s">
        <v>49</v>
      </c>
      <c r="F91" t="s">
        <v>5</v>
      </c>
      <c r="G91" s="3">
        <v>4</v>
      </c>
      <c r="H91" s="3">
        <v>3200</v>
      </c>
      <c r="I91" s="3">
        <v>12800</v>
      </c>
    </row>
    <row r="92" spans="1:9" x14ac:dyDescent="0.45">
      <c r="A92" t="s">
        <v>134</v>
      </c>
      <c r="B92" s="2">
        <v>46054</v>
      </c>
      <c r="C92" t="s">
        <v>37</v>
      </c>
      <c r="D92" t="s">
        <v>29</v>
      </c>
      <c r="E92" t="s">
        <v>30</v>
      </c>
      <c r="F92" t="s">
        <v>31</v>
      </c>
      <c r="G92" s="3">
        <v>7</v>
      </c>
      <c r="H92" s="3">
        <v>62000</v>
      </c>
      <c r="I92" s="3">
        <v>434000</v>
      </c>
    </row>
    <row r="93" spans="1:9" x14ac:dyDescent="0.45">
      <c r="A93" t="s">
        <v>135</v>
      </c>
      <c r="B93" s="2">
        <v>46055</v>
      </c>
      <c r="C93" t="s">
        <v>41</v>
      </c>
      <c r="D93" t="s">
        <v>34</v>
      </c>
      <c r="E93" t="s">
        <v>30</v>
      </c>
      <c r="F93" t="s">
        <v>35</v>
      </c>
      <c r="G93" s="3">
        <v>10</v>
      </c>
      <c r="H93" s="3">
        <v>14000</v>
      </c>
      <c r="I93" s="3">
        <v>140000</v>
      </c>
    </row>
    <row r="94" spans="1:9" x14ac:dyDescent="0.45">
      <c r="A94" t="s">
        <v>136</v>
      </c>
      <c r="B94" s="2">
        <v>46056</v>
      </c>
      <c r="C94" t="s">
        <v>28</v>
      </c>
      <c r="D94" t="s">
        <v>38</v>
      </c>
      <c r="E94" t="s">
        <v>39</v>
      </c>
      <c r="F94" t="s">
        <v>3</v>
      </c>
      <c r="G94" s="3">
        <v>3</v>
      </c>
      <c r="H94" s="3">
        <v>8500</v>
      </c>
      <c r="I94" s="3">
        <v>25500</v>
      </c>
    </row>
    <row r="95" spans="1:9" x14ac:dyDescent="0.45">
      <c r="A95" t="s">
        <v>137</v>
      </c>
      <c r="B95" s="2">
        <v>46057</v>
      </c>
      <c r="C95" t="s">
        <v>33</v>
      </c>
      <c r="D95" t="s">
        <v>42</v>
      </c>
      <c r="E95" t="s">
        <v>43</v>
      </c>
      <c r="F95" t="s">
        <v>44</v>
      </c>
      <c r="G95" s="3">
        <v>6</v>
      </c>
      <c r="H95" s="3">
        <v>1200</v>
      </c>
      <c r="I95" s="3">
        <v>7200</v>
      </c>
    </row>
    <row r="96" spans="1:9" x14ac:dyDescent="0.45">
      <c r="A96" t="s">
        <v>138</v>
      </c>
      <c r="B96" s="2">
        <v>46058</v>
      </c>
      <c r="C96" t="s">
        <v>37</v>
      </c>
      <c r="D96" t="s">
        <v>46</v>
      </c>
      <c r="E96" t="s">
        <v>43</v>
      </c>
      <c r="F96" t="s">
        <v>4</v>
      </c>
      <c r="G96" s="3">
        <v>9</v>
      </c>
      <c r="H96" s="3">
        <v>900</v>
      </c>
      <c r="I96" s="3">
        <v>8100</v>
      </c>
    </row>
    <row r="97" spans="1:9" x14ac:dyDescent="0.45">
      <c r="A97" t="s">
        <v>139</v>
      </c>
      <c r="B97" s="2">
        <v>46059</v>
      </c>
      <c r="C97" t="s">
        <v>41</v>
      </c>
      <c r="D97" t="s">
        <v>48</v>
      </c>
      <c r="E97" t="s">
        <v>49</v>
      </c>
      <c r="F97" t="s">
        <v>5</v>
      </c>
      <c r="G97" s="3">
        <v>2</v>
      </c>
      <c r="H97" s="3">
        <v>3200</v>
      </c>
      <c r="I97" s="3">
        <v>6400</v>
      </c>
    </row>
    <row r="98" spans="1:9" x14ac:dyDescent="0.45">
      <c r="A98" t="s">
        <v>140</v>
      </c>
      <c r="B98" s="2">
        <v>46060</v>
      </c>
      <c r="C98" t="s">
        <v>28</v>
      </c>
      <c r="D98" t="s">
        <v>29</v>
      </c>
      <c r="E98" t="s">
        <v>30</v>
      </c>
      <c r="F98" t="s">
        <v>31</v>
      </c>
      <c r="G98" s="3">
        <v>5</v>
      </c>
      <c r="H98" s="3">
        <v>62000</v>
      </c>
      <c r="I98" s="3">
        <v>310000</v>
      </c>
    </row>
    <row r="99" spans="1:9" x14ac:dyDescent="0.45">
      <c r="A99" t="s">
        <v>141</v>
      </c>
      <c r="B99" s="2">
        <v>46061</v>
      </c>
      <c r="C99" t="s">
        <v>33</v>
      </c>
      <c r="D99" t="s">
        <v>34</v>
      </c>
      <c r="E99" t="s">
        <v>30</v>
      </c>
      <c r="F99" t="s">
        <v>35</v>
      </c>
      <c r="G99" s="3">
        <v>8</v>
      </c>
      <c r="H99" s="3">
        <v>14000</v>
      </c>
      <c r="I99" s="3">
        <v>112000</v>
      </c>
    </row>
    <row r="100" spans="1:9" x14ac:dyDescent="0.45">
      <c r="A100" t="s">
        <v>142</v>
      </c>
      <c r="B100" s="2">
        <v>46062</v>
      </c>
      <c r="C100" t="s">
        <v>37</v>
      </c>
      <c r="D100" t="s">
        <v>38</v>
      </c>
      <c r="E100" t="s">
        <v>39</v>
      </c>
      <c r="F100" t="s">
        <v>3</v>
      </c>
      <c r="G100" s="3">
        <v>1</v>
      </c>
      <c r="H100" s="3">
        <v>8500</v>
      </c>
      <c r="I100" s="3">
        <v>8500</v>
      </c>
    </row>
    <row r="101" spans="1:9" x14ac:dyDescent="0.45">
      <c r="A101" t="s">
        <v>143</v>
      </c>
      <c r="B101" s="2">
        <v>46063</v>
      </c>
      <c r="C101" t="s">
        <v>41</v>
      </c>
      <c r="D101" t="s">
        <v>42</v>
      </c>
      <c r="E101" t="s">
        <v>43</v>
      </c>
      <c r="F101" t="s">
        <v>44</v>
      </c>
      <c r="G101" s="3">
        <v>4</v>
      </c>
      <c r="H101" s="3">
        <v>1200</v>
      </c>
      <c r="I101" s="3">
        <v>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4242-8EBF-42A5-A829-7FA033F88735}">
  <dimension ref="A1:S25"/>
  <sheetViews>
    <sheetView topLeftCell="C1" zoomScale="115" zoomScaleNormal="115" workbookViewId="0">
      <selection activeCell="K4" sqref="K4:S8"/>
    </sheetView>
  </sheetViews>
  <sheetFormatPr defaultRowHeight="14.25" x14ac:dyDescent="0.45"/>
  <cols>
    <col min="1" max="1" width="10.86328125" bestFit="1" customWidth="1"/>
    <col min="2" max="2" width="9.9296875" bestFit="1" customWidth="1"/>
    <col min="3" max="3" width="6.46484375" bestFit="1" customWidth="1"/>
    <col min="4" max="4" width="10.53125" bestFit="1" customWidth="1"/>
    <col min="5" max="5" width="15.1328125" bestFit="1" customWidth="1"/>
    <col min="6" max="6" width="10.19921875" bestFit="1" customWidth="1"/>
    <col min="7" max="7" width="9" bestFit="1" customWidth="1"/>
    <col min="8" max="8" width="8.73046875" bestFit="1" customWidth="1"/>
    <col min="9" max="9" width="7.9296875" bestFit="1" customWidth="1"/>
  </cols>
  <sheetData>
    <row r="1" spans="1:19" x14ac:dyDescent="0.45">
      <c r="A1" s="1" t="s">
        <v>21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</v>
      </c>
      <c r="K1" s="1" t="s">
        <v>205</v>
      </c>
    </row>
    <row r="2" spans="1:19" x14ac:dyDescent="0.45">
      <c r="A2" t="s">
        <v>27</v>
      </c>
      <c r="B2" s="2">
        <v>46024</v>
      </c>
      <c r="C2" t="s">
        <v>28</v>
      </c>
      <c r="D2" t="s">
        <v>29</v>
      </c>
      <c r="E2" t="s">
        <v>30</v>
      </c>
      <c r="F2" t="s">
        <v>31</v>
      </c>
      <c r="G2" s="3">
        <v>7</v>
      </c>
      <c r="H2" s="3">
        <v>62000</v>
      </c>
      <c r="I2" s="3">
        <v>434000</v>
      </c>
      <c r="K2" s="1" t="s">
        <v>206</v>
      </c>
    </row>
    <row r="3" spans="1:19" x14ac:dyDescent="0.45">
      <c r="A3" t="s">
        <v>32</v>
      </c>
      <c r="B3" s="2">
        <v>46025</v>
      </c>
      <c r="C3" t="s">
        <v>33</v>
      </c>
      <c r="D3" t="s">
        <v>34</v>
      </c>
      <c r="E3" t="s">
        <v>30</v>
      </c>
      <c r="F3" t="s">
        <v>35</v>
      </c>
      <c r="G3" s="3">
        <v>10</v>
      </c>
      <c r="H3" s="3">
        <v>14000</v>
      </c>
      <c r="I3" s="3">
        <v>140000</v>
      </c>
    </row>
    <row r="4" spans="1:19" x14ac:dyDescent="0.45">
      <c r="A4" t="s">
        <v>36</v>
      </c>
      <c r="B4" s="2">
        <v>46026</v>
      </c>
      <c r="C4" t="s">
        <v>37</v>
      </c>
      <c r="D4" t="s">
        <v>38</v>
      </c>
      <c r="E4" t="s">
        <v>39</v>
      </c>
      <c r="F4" t="s">
        <v>3</v>
      </c>
      <c r="G4" s="3">
        <v>3</v>
      </c>
      <c r="H4" s="3">
        <v>8500</v>
      </c>
      <c r="I4" s="3">
        <v>25500</v>
      </c>
      <c r="K4" t="str" cm="1">
        <f t="array" ref="K4:S8">_xlfn._xlws.SORT(_xlfn._xlws.FILTER(A2:I21,C2:C21="North"),9,-1)</f>
        <v>ORD-100001</v>
      </c>
      <c r="L4">
        <v>46024</v>
      </c>
      <c r="M4" t="str">
        <v>North</v>
      </c>
      <c r="N4" t="str">
        <v>Rahul</v>
      </c>
      <c r="O4" t="str">
        <v>Electronics</v>
      </c>
      <c r="P4" t="str">
        <v>Laptop</v>
      </c>
      <c r="Q4">
        <v>7</v>
      </c>
      <c r="R4">
        <v>62000</v>
      </c>
      <c r="S4">
        <v>434000</v>
      </c>
    </row>
    <row r="5" spans="1:19" x14ac:dyDescent="0.45">
      <c r="A5" t="s">
        <v>40</v>
      </c>
      <c r="B5" s="2">
        <v>46027</v>
      </c>
      <c r="C5" t="s">
        <v>41</v>
      </c>
      <c r="D5" t="s">
        <v>42</v>
      </c>
      <c r="E5" t="s">
        <v>43</v>
      </c>
      <c r="F5" t="s">
        <v>44</v>
      </c>
      <c r="G5" s="3">
        <v>6</v>
      </c>
      <c r="H5" s="3">
        <v>1200</v>
      </c>
      <c r="I5" s="3">
        <v>7200</v>
      </c>
      <c r="K5" t="str">
        <v>ORD-100013</v>
      </c>
      <c r="L5">
        <v>46036</v>
      </c>
      <c r="M5" t="str">
        <v>North</v>
      </c>
      <c r="N5" t="str">
        <v>Rahul</v>
      </c>
      <c r="O5" t="str">
        <v>Electronics</v>
      </c>
      <c r="P5" t="str">
        <v>Laptop</v>
      </c>
      <c r="Q5">
        <v>3</v>
      </c>
      <c r="R5">
        <v>62000</v>
      </c>
      <c r="S5">
        <v>186000</v>
      </c>
    </row>
    <row r="6" spans="1:19" x14ac:dyDescent="0.45">
      <c r="A6" t="s">
        <v>45</v>
      </c>
      <c r="B6" s="2">
        <v>46028</v>
      </c>
      <c r="C6" t="s">
        <v>28</v>
      </c>
      <c r="D6" t="s">
        <v>46</v>
      </c>
      <c r="E6" t="s">
        <v>43</v>
      </c>
      <c r="F6" t="s">
        <v>4</v>
      </c>
      <c r="G6" s="3">
        <v>9</v>
      </c>
      <c r="H6" s="3">
        <v>900</v>
      </c>
      <c r="I6" s="3">
        <v>8100</v>
      </c>
      <c r="K6" t="str">
        <v>ORD-100009</v>
      </c>
      <c r="L6">
        <v>46032</v>
      </c>
      <c r="M6" t="str">
        <v>North</v>
      </c>
      <c r="N6" t="str">
        <v>Amit</v>
      </c>
      <c r="O6" t="str">
        <v>Furniture</v>
      </c>
      <c r="P6" t="str">
        <v>Office Chair</v>
      </c>
      <c r="Q6">
        <v>1</v>
      </c>
      <c r="R6">
        <v>8500</v>
      </c>
      <c r="S6">
        <v>8500</v>
      </c>
    </row>
    <row r="7" spans="1:19" x14ac:dyDescent="0.45">
      <c r="A7" t="s">
        <v>47</v>
      </c>
      <c r="B7" s="2">
        <v>46029</v>
      </c>
      <c r="C7" t="s">
        <v>33</v>
      </c>
      <c r="D7" t="s">
        <v>48</v>
      </c>
      <c r="E7" t="s">
        <v>49</v>
      </c>
      <c r="F7" t="s">
        <v>5</v>
      </c>
      <c r="G7" s="3">
        <v>2</v>
      </c>
      <c r="H7" s="3">
        <v>3200</v>
      </c>
      <c r="I7" s="3">
        <v>6400</v>
      </c>
      <c r="K7" t="str">
        <v>ORD-100005</v>
      </c>
      <c r="L7">
        <v>46028</v>
      </c>
      <c r="M7" t="str">
        <v>North</v>
      </c>
      <c r="N7" t="str">
        <v>Karan</v>
      </c>
      <c r="O7" t="str">
        <v>Accessories</v>
      </c>
      <c r="P7" t="str">
        <v>Mouse</v>
      </c>
      <c r="Q7">
        <v>9</v>
      </c>
      <c r="R7">
        <v>900</v>
      </c>
      <c r="S7">
        <v>8100</v>
      </c>
    </row>
    <row r="8" spans="1:19" x14ac:dyDescent="0.45">
      <c r="A8" t="s">
        <v>50</v>
      </c>
      <c r="B8" s="2">
        <v>46030</v>
      </c>
      <c r="C8" t="s">
        <v>37</v>
      </c>
      <c r="D8" t="s">
        <v>29</v>
      </c>
      <c r="E8" t="s">
        <v>30</v>
      </c>
      <c r="F8" t="s">
        <v>31</v>
      </c>
      <c r="G8" s="3">
        <v>5</v>
      </c>
      <c r="H8" s="3">
        <v>62000</v>
      </c>
      <c r="I8" s="3">
        <v>310000</v>
      </c>
      <c r="K8" t="str">
        <v>ORD-100017</v>
      </c>
      <c r="L8">
        <v>46040</v>
      </c>
      <c r="M8" t="str">
        <v>North</v>
      </c>
      <c r="N8" t="str">
        <v>Karan</v>
      </c>
      <c r="O8" t="str">
        <v>Accessories</v>
      </c>
      <c r="P8" t="str">
        <v>Mouse</v>
      </c>
      <c r="Q8">
        <v>5</v>
      </c>
      <c r="R8">
        <v>900</v>
      </c>
      <c r="S8">
        <v>4500</v>
      </c>
    </row>
    <row r="9" spans="1:19" x14ac:dyDescent="0.45">
      <c r="A9" t="s">
        <v>51</v>
      </c>
      <c r="B9" s="2">
        <v>46031</v>
      </c>
      <c r="C9" t="s">
        <v>41</v>
      </c>
      <c r="D9" t="s">
        <v>34</v>
      </c>
      <c r="E9" t="s">
        <v>30</v>
      </c>
      <c r="F9" t="s">
        <v>35</v>
      </c>
      <c r="G9" s="3">
        <v>8</v>
      </c>
      <c r="H9" s="3">
        <v>14000</v>
      </c>
      <c r="I9" s="3">
        <v>112000</v>
      </c>
    </row>
    <row r="10" spans="1:19" x14ac:dyDescent="0.45">
      <c r="A10" t="s">
        <v>52</v>
      </c>
      <c r="B10" s="2">
        <v>46032</v>
      </c>
      <c r="C10" t="s">
        <v>28</v>
      </c>
      <c r="D10" t="s">
        <v>38</v>
      </c>
      <c r="E10" t="s">
        <v>39</v>
      </c>
      <c r="F10" t="s">
        <v>3</v>
      </c>
      <c r="G10" s="3">
        <v>1</v>
      </c>
      <c r="H10" s="3">
        <v>8500</v>
      </c>
      <c r="I10" s="3">
        <v>8500</v>
      </c>
      <c r="K10" s="1" t="s">
        <v>207</v>
      </c>
    </row>
    <row r="11" spans="1:19" x14ac:dyDescent="0.45">
      <c r="A11" t="s">
        <v>53</v>
      </c>
      <c r="B11" s="2">
        <v>46033</v>
      </c>
      <c r="C11" t="s">
        <v>33</v>
      </c>
      <c r="D11" t="s">
        <v>42</v>
      </c>
      <c r="E11" t="s">
        <v>43</v>
      </c>
      <c r="F11" t="s">
        <v>44</v>
      </c>
      <c r="G11" s="3">
        <v>4</v>
      </c>
      <c r="H11" s="3">
        <v>1200</v>
      </c>
      <c r="I11" s="3">
        <v>4800</v>
      </c>
      <c r="K11" t="s">
        <v>208</v>
      </c>
    </row>
    <row r="12" spans="1:19" x14ac:dyDescent="0.45">
      <c r="A12" t="s">
        <v>54</v>
      </c>
      <c r="B12" s="2">
        <v>46034</v>
      </c>
      <c r="C12" t="s">
        <v>37</v>
      </c>
      <c r="D12" t="s">
        <v>46</v>
      </c>
      <c r="E12" t="s">
        <v>43</v>
      </c>
      <c r="F12" t="s">
        <v>4</v>
      </c>
      <c r="G12" s="3">
        <v>7</v>
      </c>
      <c r="H12" s="3">
        <v>900</v>
      </c>
      <c r="I12" s="3">
        <v>6300</v>
      </c>
      <c r="K12" t="str" cm="1">
        <f t="array" ref="K12:S16">_xlfn.UNIQUE(_xlfn._xlws.FILTER(A2:I21,C2:C21="North"))</f>
        <v>ORD-100001</v>
      </c>
      <c r="L12">
        <v>46024</v>
      </c>
      <c r="M12" t="str">
        <v>North</v>
      </c>
      <c r="N12" t="str">
        <v>Rahul</v>
      </c>
      <c r="O12" t="str">
        <v>Electronics</v>
      </c>
      <c r="P12" t="str">
        <v>Laptop</v>
      </c>
      <c r="Q12">
        <v>7</v>
      </c>
      <c r="R12">
        <v>62000</v>
      </c>
      <c r="S12">
        <v>434000</v>
      </c>
    </row>
    <row r="13" spans="1:19" x14ac:dyDescent="0.45">
      <c r="A13" t="s">
        <v>55</v>
      </c>
      <c r="B13" s="2">
        <v>46035</v>
      </c>
      <c r="C13" t="s">
        <v>41</v>
      </c>
      <c r="D13" t="s">
        <v>48</v>
      </c>
      <c r="E13" t="s">
        <v>49</v>
      </c>
      <c r="F13" t="s">
        <v>5</v>
      </c>
      <c r="G13" s="3">
        <v>10</v>
      </c>
      <c r="H13" s="3">
        <v>3200</v>
      </c>
      <c r="I13" s="3">
        <v>32000</v>
      </c>
      <c r="K13" t="str">
        <v>ORD-100005</v>
      </c>
      <c r="L13">
        <v>46028</v>
      </c>
      <c r="M13" t="str">
        <v>North</v>
      </c>
      <c r="N13" t="str">
        <v>Karan</v>
      </c>
      <c r="O13" t="str">
        <v>Accessories</v>
      </c>
      <c r="P13" t="str">
        <v>Mouse</v>
      </c>
      <c r="Q13">
        <v>9</v>
      </c>
      <c r="R13">
        <v>900</v>
      </c>
      <c r="S13">
        <v>8100</v>
      </c>
    </row>
    <row r="14" spans="1:19" x14ac:dyDescent="0.45">
      <c r="A14" t="s">
        <v>56</v>
      </c>
      <c r="B14" s="2">
        <v>46036</v>
      </c>
      <c r="C14" t="s">
        <v>28</v>
      </c>
      <c r="D14" t="s">
        <v>29</v>
      </c>
      <c r="E14" t="s">
        <v>30</v>
      </c>
      <c r="F14" t="s">
        <v>31</v>
      </c>
      <c r="G14" s="3">
        <v>3</v>
      </c>
      <c r="H14" s="3">
        <v>62000</v>
      </c>
      <c r="I14" s="3">
        <v>186000</v>
      </c>
      <c r="K14" t="str">
        <v>ORD-100009</v>
      </c>
      <c r="L14">
        <v>46032</v>
      </c>
      <c r="M14" t="str">
        <v>North</v>
      </c>
      <c r="N14" t="str">
        <v>Amit</v>
      </c>
      <c r="O14" t="str">
        <v>Furniture</v>
      </c>
      <c r="P14" t="str">
        <v>Office Chair</v>
      </c>
      <c r="Q14">
        <v>1</v>
      </c>
      <c r="R14">
        <v>8500</v>
      </c>
      <c r="S14">
        <v>8500</v>
      </c>
    </row>
    <row r="15" spans="1:19" x14ac:dyDescent="0.45">
      <c r="A15" t="s">
        <v>57</v>
      </c>
      <c r="B15" s="2">
        <v>46037</v>
      </c>
      <c r="C15" t="s">
        <v>33</v>
      </c>
      <c r="D15" t="s">
        <v>34</v>
      </c>
      <c r="E15" t="s">
        <v>30</v>
      </c>
      <c r="F15" t="s">
        <v>35</v>
      </c>
      <c r="G15" s="3">
        <v>6</v>
      </c>
      <c r="H15" s="3">
        <v>14000</v>
      </c>
      <c r="I15" s="3">
        <v>84000</v>
      </c>
      <c r="K15" t="str">
        <v>ORD-100013</v>
      </c>
      <c r="L15">
        <v>46036</v>
      </c>
      <c r="M15" t="str">
        <v>North</v>
      </c>
      <c r="N15" t="str">
        <v>Rahul</v>
      </c>
      <c r="O15" t="str">
        <v>Electronics</v>
      </c>
      <c r="P15" t="str">
        <v>Laptop</v>
      </c>
      <c r="Q15">
        <v>3</v>
      </c>
      <c r="R15">
        <v>62000</v>
      </c>
      <c r="S15">
        <v>186000</v>
      </c>
    </row>
    <row r="16" spans="1:19" x14ac:dyDescent="0.45">
      <c r="A16" t="s">
        <v>58</v>
      </c>
      <c r="B16" s="2">
        <v>46038</v>
      </c>
      <c r="C16" t="s">
        <v>37</v>
      </c>
      <c r="D16" t="s">
        <v>38</v>
      </c>
      <c r="E16" t="s">
        <v>39</v>
      </c>
      <c r="F16" t="s">
        <v>3</v>
      </c>
      <c r="G16" s="3">
        <v>9</v>
      </c>
      <c r="H16" s="3">
        <v>8500</v>
      </c>
      <c r="I16" s="3">
        <v>76500</v>
      </c>
      <c r="K16" t="str">
        <v>ORD-100017</v>
      </c>
      <c r="L16">
        <v>46040</v>
      </c>
      <c r="M16" t="str">
        <v>North</v>
      </c>
      <c r="N16" t="str">
        <v>Karan</v>
      </c>
      <c r="O16" t="str">
        <v>Accessories</v>
      </c>
      <c r="P16" t="str">
        <v>Mouse</v>
      </c>
      <c r="Q16">
        <v>5</v>
      </c>
      <c r="R16">
        <v>900</v>
      </c>
      <c r="S16">
        <v>4500</v>
      </c>
    </row>
    <row r="17" spans="1:11" x14ac:dyDescent="0.45">
      <c r="A17" t="s">
        <v>59</v>
      </c>
      <c r="B17" s="2">
        <v>46039</v>
      </c>
      <c r="C17" t="s">
        <v>41</v>
      </c>
      <c r="D17" t="s">
        <v>42</v>
      </c>
      <c r="E17" t="s">
        <v>43</v>
      </c>
      <c r="F17" t="s">
        <v>44</v>
      </c>
      <c r="G17" s="3">
        <v>2</v>
      </c>
      <c r="H17" s="3">
        <v>1200</v>
      </c>
      <c r="I17" s="3">
        <v>2400</v>
      </c>
    </row>
    <row r="18" spans="1:11" x14ac:dyDescent="0.45">
      <c r="A18" t="s">
        <v>60</v>
      </c>
      <c r="B18" s="2">
        <v>46040</v>
      </c>
      <c r="C18" t="s">
        <v>28</v>
      </c>
      <c r="D18" t="s">
        <v>46</v>
      </c>
      <c r="E18" t="s">
        <v>43</v>
      </c>
      <c r="F18" t="s">
        <v>4</v>
      </c>
      <c r="G18" s="3">
        <v>5</v>
      </c>
      <c r="H18" s="3">
        <v>900</v>
      </c>
      <c r="I18" s="3">
        <v>4500</v>
      </c>
      <c r="K18" s="1" t="s">
        <v>209</v>
      </c>
    </row>
    <row r="19" spans="1:11" x14ac:dyDescent="0.45">
      <c r="A19" t="s">
        <v>61</v>
      </c>
      <c r="B19" s="2">
        <v>46041</v>
      </c>
      <c r="C19" t="s">
        <v>33</v>
      </c>
      <c r="D19" t="s">
        <v>48</v>
      </c>
      <c r="E19" t="s">
        <v>49</v>
      </c>
      <c r="F19" t="s">
        <v>5</v>
      </c>
      <c r="G19" s="3">
        <v>8</v>
      </c>
      <c r="H19" s="3">
        <v>3200</v>
      </c>
      <c r="I19" s="3">
        <v>25600</v>
      </c>
      <c r="K19" t="s">
        <v>210</v>
      </c>
    </row>
    <row r="20" spans="1:11" x14ac:dyDescent="0.45">
      <c r="A20" t="s">
        <v>62</v>
      </c>
      <c r="B20" s="2">
        <v>46042</v>
      </c>
      <c r="C20" t="s">
        <v>37</v>
      </c>
      <c r="D20" t="s">
        <v>29</v>
      </c>
      <c r="E20" t="s">
        <v>30</v>
      </c>
      <c r="F20" t="s">
        <v>31</v>
      </c>
      <c r="G20" s="3">
        <v>1</v>
      </c>
      <c r="H20" s="3">
        <v>62000</v>
      </c>
      <c r="I20" s="3">
        <v>62000</v>
      </c>
      <c r="K20" t="str" cm="1">
        <f t="array" ref="K20:K25">_xlfn._xlws.SORT(_xlfn.UNIQUE(D2:D21))</f>
        <v>Amit</v>
      </c>
    </row>
    <row r="21" spans="1:11" x14ac:dyDescent="0.45">
      <c r="A21" t="s">
        <v>63</v>
      </c>
      <c r="B21" s="2">
        <v>46043</v>
      </c>
      <c r="C21" t="s">
        <v>41</v>
      </c>
      <c r="D21" t="s">
        <v>34</v>
      </c>
      <c r="E21" t="s">
        <v>30</v>
      </c>
      <c r="F21" t="s">
        <v>35</v>
      </c>
      <c r="G21" s="3">
        <v>4</v>
      </c>
      <c r="H21" s="3">
        <v>14000</v>
      </c>
      <c r="I21" s="3">
        <v>56000</v>
      </c>
      <c r="K21" t="str">
        <v>Karan</v>
      </c>
    </row>
    <row r="22" spans="1:11" x14ac:dyDescent="0.45">
      <c r="K22" t="str">
        <v>Neha</v>
      </c>
    </row>
    <row r="23" spans="1:11" x14ac:dyDescent="0.45">
      <c r="K23" t="str">
        <v>Priya</v>
      </c>
    </row>
    <row r="24" spans="1:11" x14ac:dyDescent="0.45">
      <c r="K24" t="str">
        <v>Rahul</v>
      </c>
    </row>
    <row r="25" spans="1:11" x14ac:dyDescent="0.45">
      <c r="K25" t="str">
        <v>Sneha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2CB8-3B9A-4B61-A19F-9B1704880E3E}">
  <dimension ref="A1:L101"/>
  <sheetViews>
    <sheetView zoomScale="130" zoomScaleNormal="130" workbookViewId="0">
      <selection activeCell="L17" sqref="L17"/>
    </sheetView>
  </sheetViews>
  <sheetFormatPr defaultRowHeight="14.25" x14ac:dyDescent="0.45"/>
  <cols>
    <col min="1" max="1" width="10.86328125" bestFit="1" customWidth="1"/>
    <col min="2" max="2" width="9.9296875" bestFit="1" customWidth="1"/>
    <col min="3" max="3" width="6.46484375" bestFit="1" customWidth="1"/>
    <col min="4" max="4" width="10.53125" bestFit="1" customWidth="1"/>
    <col min="5" max="5" width="15.1328125" bestFit="1" customWidth="1"/>
    <col min="6" max="6" width="10.19921875" bestFit="1" customWidth="1"/>
    <col min="7" max="7" width="9" bestFit="1" customWidth="1"/>
    <col min="8" max="8" width="8.73046875" bestFit="1" customWidth="1"/>
    <col min="9" max="9" width="7.9296875" bestFit="1" customWidth="1"/>
  </cols>
  <sheetData>
    <row r="1" spans="1:12" x14ac:dyDescent="0.45">
      <c r="A1" s="1" t="s">
        <v>21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</v>
      </c>
    </row>
    <row r="2" spans="1:12" x14ac:dyDescent="0.45">
      <c r="A2" t="s">
        <v>27</v>
      </c>
      <c r="B2" s="2">
        <v>46024</v>
      </c>
      <c r="C2" t="s">
        <v>28</v>
      </c>
      <c r="D2" t="s">
        <v>29</v>
      </c>
      <c r="E2" t="s">
        <v>30</v>
      </c>
      <c r="F2" t="s">
        <v>31</v>
      </c>
      <c r="G2" s="3">
        <v>7</v>
      </c>
      <c r="H2" s="3">
        <v>62000</v>
      </c>
      <c r="I2" s="3">
        <v>434000</v>
      </c>
    </row>
    <row r="3" spans="1:12" x14ac:dyDescent="0.45">
      <c r="A3" t="s">
        <v>32</v>
      </c>
      <c r="B3" s="2">
        <v>46025</v>
      </c>
      <c r="C3" t="s">
        <v>33</v>
      </c>
      <c r="D3" t="s">
        <v>34</v>
      </c>
      <c r="E3" t="s">
        <v>30</v>
      </c>
      <c r="F3" t="s">
        <v>35</v>
      </c>
      <c r="G3" s="3">
        <v>10</v>
      </c>
      <c r="H3" s="3">
        <v>14000</v>
      </c>
      <c r="I3" s="3">
        <v>140000</v>
      </c>
    </row>
    <row r="4" spans="1:12" x14ac:dyDescent="0.45">
      <c r="A4" t="s">
        <v>36</v>
      </c>
      <c r="B4" s="2">
        <v>46026</v>
      </c>
      <c r="C4" t="s">
        <v>37</v>
      </c>
      <c r="D4" t="s">
        <v>38</v>
      </c>
      <c r="E4" t="s">
        <v>39</v>
      </c>
      <c r="F4" t="s">
        <v>3</v>
      </c>
      <c r="G4" s="3">
        <v>3</v>
      </c>
      <c r="H4" s="3">
        <v>8500</v>
      </c>
      <c r="I4" s="3">
        <v>25500</v>
      </c>
    </row>
    <row r="5" spans="1:12" x14ac:dyDescent="0.45">
      <c r="A5" t="s">
        <v>40</v>
      </c>
      <c r="B5" s="2">
        <v>46027</v>
      </c>
      <c r="C5" t="s">
        <v>41</v>
      </c>
      <c r="D5" t="s">
        <v>42</v>
      </c>
      <c r="E5" t="s">
        <v>43</v>
      </c>
      <c r="F5" t="s">
        <v>44</v>
      </c>
      <c r="G5" s="3">
        <v>6</v>
      </c>
      <c r="H5" s="3">
        <v>1200</v>
      </c>
      <c r="I5" s="3">
        <v>7200</v>
      </c>
    </row>
    <row r="6" spans="1:12" x14ac:dyDescent="0.45">
      <c r="A6" t="s">
        <v>45</v>
      </c>
      <c r="B6" s="2">
        <v>46028</v>
      </c>
      <c r="C6" t="s">
        <v>28</v>
      </c>
      <c r="D6" t="s">
        <v>46</v>
      </c>
      <c r="E6" t="s">
        <v>43</v>
      </c>
      <c r="F6" t="s">
        <v>4</v>
      </c>
      <c r="G6" s="3">
        <v>9</v>
      </c>
      <c r="H6" s="3">
        <v>900</v>
      </c>
      <c r="I6" s="3">
        <v>8100</v>
      </c>
    </row>
    <row r="7" spans="1:12" x14ac:dyDescent="0.45">
      <c r="A7" t="s">
        <v>47</v>
      </c>
      <c r="B7" s="2">
        <v>46029</v>
      </c>
      <c r="C7" t="s">
        <v>33</v>
      </c>
      <c r="D7" t="s">
        <v>48</v>
      </c>
      <c r="E7" t="s">
        <v>49</v>
      </c>
      <c r="F7" t="s">
        <v>5</v>
      </c>
      <c r="G7" s="3">
        <v>2</v>
      </c>
      <c r="H7" s="3">
        <v>3200</v>
      </c>
      <c r="I7" s="3">
        <v>6400</v>
      </c>
    </row>
    <row r="8" spans="1:12" x14ac:dyDescent="0.45">
      <c r="A8" t="s">
        <v>50</v>
      </c>
      <c r="B8" s="2">
        <v>46030</v>
      </c>
      <c r="C8" t="s">
        <v>37</v>
      </c>
      <c r="D8" t="s">
        <v>29</v>
      </c>
      <c r="E8" t="s">
        <v>30</v>
      </c>
      <c r="F8" t="s">
        <v>31</v>
      </c>
      <c r="G8" s="3">
        <v>5</v>
      </c>
      <c r="H8" s="3">
        <v>62000</v>
      </c>
      <c r="I8" s="3">
        <v>310000</v>
      </c>
    </row>
    <row r="9" spans="1:12" x14ac:dyDescent="0.45">
      <c r="A9" t="s">
        <v>51</v>
      </c>
      <c r="B9" s="2">
        <v>46031</v>
      </c>
      <c r="C9" t="s">
        <v>41</v>
      </c>
      <c r="D9" t="s">
        <v>34</v>
      </c>
      <c r="E9" t="s">
        <v>30</v>
      </c>
      <c r="F9" t="s">
        <v>35</v>
      </c>
      <c r="G9" s="3">
        <v>8</v>
      </c>
      <c r="H9" s="3">
        <v>14000</v>
      </c>
      <c r="I9" s="3">
        <v>112000</v>
      </c>
      <c r="L9" s="1" t="s">
        <v>177</v>
      </c>
    </row>
    <row r="10" spans="1:12" x14ac:dyDescent="0.45">
      <c r="A10" t="s">
        <v>52</v>
      </c>
      <c r="B10" s="2">
        <v>46032</v>
      </c>
      <c r="C10" t="s">
        <v>28</v>
      </c>
      <c r="D10" t="s">
        <v>38</v>
      </c>
      <c r="E10" t="s">
        <v>39</v>
      </c>
      <c r="F10" t="s">
        <v>3</v>
      </c>
      <c r="G10" s="3">
        <v>1</v>
      </c>
      <c r="H10" s="3">
        <v>8500</v>
      </c>
      <c r="I10" s="3">
        <v>8500</v>
      </c>
      <c r="L10" t="str" cm="1">
        <f t="array" ref="L10:L15">_xlfn.UNIQUE(D2:D101)</f>
        <v>Rahul</v>
      </c>
    </row>
    <row r="11" spans="1:12" x14ac:dyDescent="0.45">
      <c r="A11" t="s">
        <v>53</v>
      </c>
      <c r="B11" s="2">
        <v>46033</v>
      </c>
      <c r="C11" t="s">
        <v>33</v>
      </c>
      <c r="D11" t="s">
        <v>42</v>
      </c>
      <c r="E11" t="s">
        <v>43</v>
      </c>
      <c r="F11" t="s">
        <v>44</v>
      </c>
      <c r="G11" s="3">
        <v>4</v>
      </c>
      <c r="H11" s="3">
        <v>1200</v>
      </c>
      <c r="I11" s="3">
        <v>4800</v>
      </c>
      <c r="L11" t="str">
        <v>Priya</v>
      </c>
    </row>
    <row r="12" spans="1:12" x14ac:dyDescent="0.45">
      <c r="A12" t="s">
        <v>54</v>
      </c>
      <c r="B12" s="2">
        <v>46034</v>
      </c>
      <c r="C12" t="s">
        <v>37</v>
      </c>
      <c r="D12" t="s">
        <v>46</v>
      </c>
      <c r="E12" t="s">
        <v>43</v>
      </c>
      <c r="F12" t="s">
        <v>4</v>
      </c>
      <c r="G12" s="3">
        <v>7</v>
      </c>
      <c r="H12" s="3">
        <v>900</v>
      </c>
      <c r="I12" s="3">
        <v>6300</v>
      </c>
      <c r="L12" t="str">
        <v>Amit</v>
      </c>
    </row>
    <row r="13" spans="1:12" x14ac:dyDescent="0.45">
      <c r="A13" t="s">
        <v>55</v>
      </c>
      <c r="B13" s="2">
        <v>46035</v>
      </c>
      <c r="C13" t="s">
        <v>41</v>
      </c>
      <c r="D13" t="s">
        <v>48</v>
      </c>
      <c r="E13" t="s">
        <v>49</v>
      </c>
      <c r="F13" t="s">
        <v>5</v>
      </c>
      <c r="G13" s="3">
        <v>10</v>
      </c>
      <c r="H13" s="3">
        <v>3200</v>
      </c>
      <c r="I13" s="3">
        <v>32000</v>
      </c>
      <c r="L13" t="str">
        <v>Sneha</v>
      </c>
    </row>
    <row r="14" spans="1:12" x14ac:dyDescent="0.45">
      <c r="A14" t="s">
        <v>56</v>
      </c>
      <c r="B14" s="2">
        <v>46036</v>
      </c>
      <c r="C14" t="s">
        <v>28</v>
      </c>
      <c r="D14" t="s">
        <v>29</v>
      </c>
      <c r="E14" t="s">
        <v>30</v>
      </c>
      <c r="F14" t="s">
        <v>31</v>
      </c>
      <c r="G14" s="3">
        <v>3</v>
      </c>
      <c r="H14" s="3">
        <v>62000</v>
      </c>
      <c r="I14" s="3">
        <v>186000</v>
      </c>
      <c r="L14" t="str">
        <v>Karan</v>
      </c>
    </row>
    <row r="15" spans="1:12" x14ac:dyDescent="0.45">
      <c r="A15" t="s">
        <v>57</v>
      </c>
      <c r="B15" s="2">
        <v>46037</v>
      </c>
      <c r="C15" t="s">
        <v>33</v>
      </c>
      <c r="D15" t="s">
        <v>34</v>
      </c>
      <c r="E15" t="s">
        <v>30</v>
      </c>
      <c r="F15" t="s">
        <v>35</v>
      </c>
      <c r="G15" s="3">
        <v>6</v>
      </c>
      <c r="H15" s="3">
        <v>14000</v>
      </c>
      <c r="I15" s="3">
        <v>84000</v>
      </c>
      <c r="L15" t="str">
        <v>Neha</v>
      </c>
    </row>
    <row r="16" spans="1:12" x14ac:dyDescent="0.45">
      <c r="A16" t="s">
        <v>58</v>
      </c>
      <c r="B16" s="2">
        <v>46038</v>
      </c>
      <c r="C16" t="s">
        <v>37</v>
      </c>
      <c r="D16" t="s">
        <v>38</v>
      </c>
      <c r="E16" t="s">
        <v>39</v>
      </c>
      <c r="F16" t="s">
        <v>3</v>
      </c>
      <c r="G16" s="3">
        <v>9</v>
      </c>
      <c r="H16" s="3">
        <v>8500</v>
      </c>
      <c r="I16" s="3">
        <v>76500</v>
      </c>
      <c r="L16" s="1" t="s">
        <v>179</v>
      </c>
    </row>
    <row r="17" spans="1:12" x14ac:dyDescent="0.45">
      <c r="A17" t="s">
        <v>59</v>
      </c>
      <c r="B17" s="2">
        <v>46039</v>
      </c>
      <c r="C17" t="s">
        <v>41</v>
      </c>
      <c r="D17" t="s">
        <v>42</v>
      </c>
      <c r="E17" t="s">
        <v>43</v>
      </c>
      <c r="F17" t="s">
        <v>44</v>
      </c>
      <c r="G17" s="3">
        <v>2</v>
      </c>
      <c r="H17" s="3">
        <v>1200</v>
      </c>
      <c r="I17" s="3">
        <v>2400</v>
      </c>
      <c r="L17" t="str" cm="1">
        <f t="array" ref="L17:L22">_xlfn.UNIQUE(F2:F101)</f>
        <v>Laptop</v>
      </c>
    </row>
    <row r="18" spans="1:12" x14ac:dyDescent="0.45">
      <c r="A18" t="s">
        <v>60</v>
      </c>
      <c r="B18" s="2">
        <v>46040</v>
      </c>
      <c r="C18" t="s">
        <v>28</v>
      </c>
      <c r="D18" t="s">
        <v>46</v>
      </c>
      <c r="E18" t="s">
        <v>43</v>
      </c>
      <c r="F18" t="s">
        <v>4</v>
      </c>
      <c r="G18" s="3">
        <v>5</v>
      </c>
      <c r="H18" s="3">
        <v>900</v>
      </c>
      <c r="I18" s="3">
        <v>4500</v>
      </c>
      <c r="L18" t="str">
        <v>Monitor</v>
      </c>
    </row>
    <row r="19" spans="1:12" x14ac:dyDescent="0.45">
      <c r="A19" t="s">
        <v>61</v>
      </c>
      <c r="B19" s="2">
        <v>46041</v>
      </c>
      <c r="C19" t="s">
        <v>33</v>
      </c>
      <c r="D19" t="s">
        <v>48</v>
      </c>
      <c r="E19" t="s">
        <v>49</v>
      </c>
      <c r="F19" t="s">
        <v>5</v>
      </c>
      <c r="G19" s="3">
        <v>8</v>
      </c>
      <c r="H19" s="3">
        <v>3200</v>
      </c>
      <c r="I19" s="3">
        <v>25600</v>
      </c>
      <c r="L19" t="str">
        <v>Office Chair</v>
      </c>
    </row>
    <row r="20" spans="1:12" x14ac:dyDescent="0.45">
      <c r="A20" t="s">
        <v>62</v>
      </c>
      <c r="B20" s="2">
        <v>46042</v>
      </c>
      <c r="C20" t="s">
        <v>37</v>
      </c>
      <c r="D20" t="s">
        <v>29</v>
      </c>
      <c r="E20" t="s">
        <v>30</v>
      </c>
      <c r="F20" t="s">
        <v>31</v>
      </c>
      <c r="G20" s="3">
        <v>1</v>
      </c>
      <c r="H20" s="3">
        <v>62000</v>
      </c>
      <c r="I20" s="3">
        <v>62000</v>
      </c>
      <c r="L20" t="str">
        <v>Keyboard</v>
      </c>
    </row>
    <row r="21" spans="1:12" x14ac:dyDescent="0.45">
      <c r="A21" t="s">
        <v>63</v>
      </c>
      <c r="B21" s="2">
        <v>46043</v>
      </c>
      <c r="C21" t="s">
        <v>41</v>
      </c>
      <c r="D21" t="s">
        <v>34</v>
      </c>
      <c r="E21" t="s">
        <v>30</v>
      </c>
      <c r="F21" t="s">
        <v>35</v>
      </c>
      <c r="G21" s="3">
        <v>4</v>
      </c>
      <c r="H21" s="3">
        <v>14000</v>
      </c>
      <c r="I21" s="3">
        <v>56000</v>
      </c>
      <c r="L21" t="str">
        <v>Mouse</v>
      </c>
    </row>
    <row r="22" spans="1:12" x14ac:dyDescent="0.45">
      <c r="A22" t="s">
        <v>64</v>
      </c>
      <c r="B22" s="2">
        <v>46044</v>
      </c>
      <c r="C22" t="s">
        <v>28</v>
      </c>
      <c r="D22" t="s">
        <v>38</v>
      </c>
      <c r="E22" t="s">
        <v>39</v>
      </c>
      <c r="F22" t="s">
        <v>3</v>
      </c>
      <c r="G22" s="3">
        <v>7</v>
      </c>
      <c r="H22" s="3">
        <v>8500</v>
      </c>
      <c r="I22" s="3">
        <v>59500</v>
      </c>
      <c r="L22" t="str">
        <v>Router</v>
      </c>
    </row>
    <row r="23" spans="1:12" x14ac:dyDescent="0.45">
      <c r="A23" t="s">
        <v>65</v>
      </c>
      <c r="B23" s="2">
        <v>46045</v>
      </c>
      <c r="C23" t="s">
        <v>33</v>
      </c>
      <c r="D23" t="s">
        <v>42</v>
      </c>
      <c r="E23" t="s">
        <v>43</v>
      </c>
      <c r="F23" t="s">
        <v>44</v>
      </c>
      <c r="G23" s="3">
        <v>10</v>
      </c>
      <c r="H23" s="3">
        <v>1200</v>
      </c>
      <c r="I23" s="3">
        <v>12000</v>
      </c>
      <c r="L23" s="1" t="s">
        <v>178</v>
      </c>
    </row>
    <row r="24" spans="1:12" x14ac:dyDescent="0.45">
      <c r="A24" t="s">
        <v>66</v>
      </c>
      <c r="B24" s="2">
        <v>46046</v>
      </c>
      <c r="C24" t="s">
        <v>37</v>
      </c>
      <c r="D24" t="s">
        <v>46</v>
      </c>
      <c r="E24" t="s">
        <v>43</v>
      </c>
      <c r="F24" t="s">
        <v>4</v>
      </c>
      <c r="G24" s="3">
        <v>3</v>
      </c>
      <c r="H24" s="3">
        <v>900</v>
      </c>
      <c r="I24" s="3">
        <v>2700</v>
      </c>
      <c r="L24" t="str" cm="1">
        <f t="array" ref="L24:L27">_xlfn.UNIQUE(C2:C101)</f>
        <v>North</v>
      </c>
    </row>
    <row r="25" spans="1:12" x14ac:dyDescent="0.45">
      <c r="A25" t="s">
        <v>67</v>
      </c>
      <c r="B25" s="2">
        <v>46047</v>
      </c>
      <c r="C25" t="s">
        <v>41</v>
      </c>
      <c r="D25" t="s">
        <v>48</v>
      </c>
      <c r="E25" t="s">
        <v>49</v>
      </c>
      <c r="F25" t="s">
        <v>5</v>
      </c>
      <c r="G25" s="3">
        <v>6</v>
      </c>
      <c r="H25" s="3">
        <v>3200</v>
      </c>
      <c r="I25" s="3">
        <v>19200</v>
      </c>
      <c r="L25" t="str">
        <v>South</v>
      </c>
    </row>
    <row r="26" spans="1:12" x14ac:dyDescent="0.45">
      <c r="A26" t="s">
        <v>68</v>
      </c>
      <c r="B26" s="2">
        <v>46048</v>
      </c>
      <c r="C26" t="s">
        <v>28</v>
      </c>
      <c r="D26" t="s">
        <v>29</v>
      </c>
      <c r="E26" t="s">
        <v>30</v>
      </c>
      <c r="F26" t="s">
        <v>31</v>
      </c>
      <c r="G26" s="3">
        <v>9</v>
      </c>
      <c r="H26" s="3">
        <v>62000</v>
      </c>
      <c r="I26" s="3">
        <v>558000</v>
      </c>
      <c r="L26" t="str">
        <v>East</v>
      </c>
    </row>
    <row r="27" spans="1:12" x14ac:dyDescent="0.45">
      <c r="A27" t="s">
        <v>69</v>
      </c>
      <c r="B27" s="2">
        <v>46049</v>
      </c>
      <c r="C27" t="s">
        <v>33</v>
      </c>
      <c r="D27" t="s">
        <v>34</v>
      </c>
      <c r="E27" t="s">
        <v>30</v>
      </c>
      <c r="F27" t="s">
        <v>35</v>
      </c>
      <c r="G27" s="3">
        <v>2</v>
      </c>
      <c r="H27" s="3">
        <v>14000</v>
      </c>
      <c r="I27" s="3">
        <v>28000</v>
      </c>
      <c r="L27" t="str">
        <v>West</v>
      </c>
    </row>
    <row r="28" spans="1:12" x14ac:dyDescent="0.45">
      <c r="A28" t="s">
        <v>70</v>
      </c>
      <c r="B28" s="2">
        <v>46050</v>
      </c>
      <c r="C28" t="s">
        <v>37</v>
      </c>
      <c r="D28" t="s">
        <v>38</v>
      </c>
      <c r="E28" t="s">
        <v>39</v>
      </c>
      <c r="F28" t="s">
        <v>3</v>
      </c>
      <c r="G28" s="3">
        <v>5</v>
      </c>
      <c r="H28" s="3">
        <v>8500</v>
      </c>
      <c r="I28" s="3">
        <v>42500</v>
      </c>
    </row>
    <row r="29" spans="1:12" x14ac:dyDescent="0.45">
      <c r="A29" t="s">
        <v>71</v>
      </c>
      <c r="B29" s="2">
        <v>46051</v>
      </c>
      <c r="C29" t="s">
        <v>41</v>
      </c>
      <c r="D29" t="s">
        <v>42</v>
      </c>
      <c r="E29" t="s">
        <v>43</v>
      </c>
      <c r="F29" t="s">
        <v>44</v>
      </c>
      <c r="G29" s="3">
        <v>8</v>
      </c>
      <c r="H29" s="3">
        <v>1200</v>
      </c>
      <c r="I29" s="3">
        <v>9600</v>
      </c>
    </row>
    <row r="30" spans="1:12" x14ac:dyDescent="0.45">
      <c r="A30" t="s">
        <v>72</v>
      </c>
      <c r="B30" s="2">
        <v>46052</v>
      </c>
      <c r="C30" t="s">
        <v>28</v>
      </c>
      <c r="D30" t="s">
        <v>46</v>
      </c>
      <c r="E30" t="s">
        <v>43</v>
      </c>
      <c r="F30" t="s">
        <v>4</v>
      </c>
      <c r="G30" s="3">
        <v>1</v>
      </c>
      <c r="H30" s="3">
        <v>900</v>
      </c>
      <c r="I30" s="3">
        <v>900</v>
      </c>
    </row>
    <row r="31" spans="1:12" x14ac:dyDescent="0.45">
      <c r="A31" t="s">
        <v>73</v>
      </c>
      <c r="B31" s="2">
        <v>46053</v>
      </c>
      <c r="C31" t="s">
        <v>33</v>
      </c>
      <c r="D31" t="s">
        <v>48</v>
      </c>
      <c r="E31" t="s">
        <v>49</v>
      </c>
      <c r="F31" t="s">
        <v>5</v>
      </c>
      <c r="G31" s="3">
        <v>4</v>
      </c>
      <c r="H31" s="3">
        <v>3200</v>
      </c>
      <c r="I31" s="3">
        <v>12800</v>
      </c>
    </row>
    <row r="32" spans="1:12" x14ac:dyDescent="0.45">
      <c r="A32" t="s">
        <v>74</v>
      </c>
      <c r="B32" s="2">
        <v>46054</v>
      </c>
      <c r="C32" t="s">
        <v>37</v>
      </c>
      <c r="D32" t="s">
        <v>29</v>
      </c>
      <c r="E32" t="s">
        <v>30</v>
      </c>
      <c r="F32" t="s">
        <v>31</v>
      </c>
      <c r="G32" s="3">
        <v>7</v>
      </c>
      <c r="H32" s="3">
        <v>62000</v>
      </c>
      <c r="I32" s="3">
        <v>434000</v>
      </c>
    </row>
    <row r="33" spans="1:9" x14ac:dyDescent="0.45">
      <c r="A33" t="s">
        <v>75</v>
      </c>
      <c r="B33" s="2">
        <v>46055</v>
      </c>
      <c r="C33" t="s">
        <v>41</v>
      </c>
      <c r="D33" t="s">
        <v>34</v>
      </c>
      <c r="E33" t="s">
        <v>30</v>
      </c>
      <c r="F33" t="s">
        <v>35</v>
      </c>
      <c r="G33" s="3">
        <v>10</v>
      </c>
      <c r="H33" s="3">
        <v>14000</v>
      </c>
      <c r="I33" s="3">
        <v>140000</v>
      </c>
    </row>
    <row r="34" spans="1:9" x14ac:dyDescent="0.45">
      <c r="A34" t="s">
        <v>76</v>
      </c>
      <c r="B34" s="2">
        <v>46056</v>
      </c>
      <c r="C34" t="s">
        <v>28</v>
      </c>
      <c r="D34" t="s">
        <v>38</v>
      </c>
      <c r="E34" t="s">
        <v>39</v>
      </c>
      <c r="F34" t="s">
        <v>3</v>
      </c>
      <c r="G34" s="3">
        <v>3</v>
      </c>
      <c r="H34" s="3">
        <v>8500</v>
      </c>
      <c r="I34" s="3">
        <v>25500</v>
      </c>
    </row>
    <row r="35" spans="1:9" x14ac:dyDescent="0.45">
      <c r="A35" t="s">
        <v>77</v>
      </c>
      <c r="B35" s="2">
        <v>46057</v>
      </c>
      <c r="C35" t="s">
        <v>33</v>
      </c>
      <c r="D35" t="s">
        <v>42</v>
      </c>
      <c r="E35" t="s">
        <v>43</v>
      </c>
      <c r="F35" t="s">
        <v>44</v>
      </c>
      <c r="G35" s="3">
        <v>6</v>
      </c>
      <c r="H35" s="3">
        <v>1200</v>
      </c>
      <c r="I35" s="3">
        <v>7200</v>
      </c>
    </row>
    <row r="36" spans="1:9" x14ac:dyDescent="0.45">
      <c r="A36" t="s">
        <v>78</v>
      </c>
      <c r="B36" s="2">
        <v>46058</v>
      </c>
      <c r="C36" t="s">
        <v>37</v>
      </c>
      <c r="D36" t="s">
        <v>46</v>
      </c>
      <c r="E36" t="s">
        <v>43</v>
      </c>
      <c r="F36" t="s">
        <v>4</v>
      </c>
      <c r="G36" s="3">
        <v>9</v>
      </c>
      <c r="H36" s="3">
        <v>900</v>
      </c>
      <c r="I36" s="3">
        <v>8100</v>
      </c>
    </row>
    <row r="37" spans="1:9" x14ac:dyDescent="0.45">
      <c r="A37" t="s">
        <v>79</v>
      </c>
      <c r="B37" s="2">
        <v>46059</v>
      </c>
      <c r="C37" t="s">
        <v>41</v>
      </c>
      <c r="D37" t="s">
        <v>48</v>
      </c>
      <c r="E37" t="s">
        <v>49</v>
      </c>
      <c r="F37" t="s">
        <v>5</v>
      </c>
      <c r="G37" s="3">
        <v>2</v>
      </c>
      <c r="H37" s="3">
        <v>3200</v>
      </c>
      <c r="I37" s="3">
        <v>6400</v>
      </c>
    </row>
    <row r="38" spans="1:9" x14ac:dyDescent="0.45">
      <c r="A38" t="s">
        <v>80</v>
      </c>
      <c r="B38" s="2">
        <v>46060</v>
      </c>
      <c r="C38" t="s">
        <v>28</v>
      </c>
      <c r="D38" t="s">
        <v>29</v>
      </c>
      <c r="E38" t="s">
        <v>30</v>
      </c>
      <c r="F38" t="s">
        <v>31</v>
      </c>
      <c r="G38" s="3">
        <v>5</v>
      </c>
      <c r="H38" s="3">
        <v>62000</v>
      </c>
      <c r="I38" s="3">
        <v>310000</v>
      </c>
    </row>
    <row r="39" spans="1:9" x14ac:dyDescent="0.45">
      <c r="A39" t="s">
        <v>81</v>
      </c>
      <c r="B39" s="2">
        <v>46061</v>
      </c>
      <c r="C39" t="s">
        <v>33</v>
      </c>
      <c r="D39" t="s">
        <v>34</v>
      </c>
      <c r="E39" t="s">
        <v>30</v>
      </c>
      <c r="F39" t="s">
        <v>35</v>
      </c>
      <c r="G39" s="3">
        <v>8</v>
      </c>
      <c r="H39" s="3">
        <v>14000</v>
      </c>
      <c r="I39" s="3">
        <v>112000</v>
      </c>
    </row>
    <row r="40" spans="1:9" x14ac:dyDescent="0.45">
      <c r="A40" t="s">
        <v>82</v>
      </c>
      <c r="B40" s="2">
        <v>46062</v>
      </c>
      <c r="C40" t="s">
        <v>37</v>
      </c>
      <c r="D40" t="s">
        <v>38</v>
      </c>
      <c r="E40" t="s">
        <v>39</v>
      </c>
      <c r="F40" t="s">
        <v>3</v>
      </c>
      <c r="G40" s="3">
        <v>1</v>
      </c>
      <c r="H40" s="3">
        <v>8500</v>
      </c>
      <c r="I40" s="3">
        <v>8500</v>
      </c>
    </row>
    <row r="41" spans="1:9" x14ac:dyDescent="0.45">
      <c r="A41" t="s">
        <v>83</v>
      </c>
      <c r="B41" s="2">
        <v>46063</v>
      </c>
      <c r="C41" t="s">
        <v>41</v>
      </c>
      <c r="D41" t="s">
        <v>42</v>
      </c>
      <c r="E41" t="s">
        <v>43</v>
      </c>
      <c r="F41" t="s">
        <v>44</v>
      </c>
      <c r="G41" s="3">
        <v>4</v>
      </c>
      <c r="H41" s="3">
        <v>1200</v>
      </c>
      <c r="I41" s="3">
        <v>4800</v>
      </c>
    </row>
    <row r="42" spans="1:9" x14ac:dyDescent="0.45">
      <c r="A42" t="s">
        <v>84</v>
      </c>
      <c r="B42" s="2">
        <v>46064</v>
      </c>
      <c r="C42" t="s">
        <v>28</v>
      </c>
      <c r="D42" t="s">
        <v>46</v>
      </c>
      <c r="E42" t="s">
        <v>43</v>
      </c>
      <c r="F42" t="s">
        <v>4</v>
      </c>
      <c r="G42" s="3">
        <v>7</v>
      </c>
      <c r="H42" s="3">
        <v>900</v>
      </c>
      <c r="I42" s="3">
        <v>6300</v>
      </c>
    </row>
    <row r="43" spans="1:9" x14ac:dyDescent="0.45">
      <c r="A43" t="s">
        <v>85</v>
      </c>
      <c r="B43" s="2">
        <v>46065</v>
      </c>
      <c r="C43" t="s">
        <v>33</v>
      </c>
      <c r="D43" t="s">
        <v>48</v>
      </c>
      <c r="E43" t="s">
        <v>49</v>
      </c>
      <c r="F43" t="s">
        <v>5</v>
      </c>
      <c r="G43" s="3">
        <v>10</v>
      </c>
      <c r="H43" s="3">
        <v>3200</v>
      </c>
      <c r="I43" s="3">
        <v>32000</v>
      </c>
    </row>
    <row r="44" spans="1:9" x14ac:dyDescent="0.45">
      <c r="A44" t="s">
        <v>86</v>
      </c>
      <c r="B44" s="2">
        <v>46066</v>
      </c>
      <c r="C44" t="s">
        <v>37</v>
      </c>
      <c r="D44" t="s">
        <v>29</v>
      </c>
      <c r="E44" t="s">
        <v>30</v>
      </c>
      <c r="F44" t="s">
        <v>31</v>
      </c>
      <c r="G44" s="3">
        <v>3</v>
      </c>
      <c r="H44" s="3">
        <v>62000</v>
      </c>
      <c r="I44" s="3">
        <v>186000</v>
      </c>
    </row>
    <row r="45" spans="1:9" x14ac:dyDescent="0.45">
      <c r="A45" t="s">
        <v>87</v>
      </c>
      <c r="B45" s="2">
        <v>46067</v>
      </c>
      <c r="C45" t="s">
        <v>41</v>
      </c>
      <c r="D45" t="s">
        <v>34</v>
      </c>
      <c r="E45" t="s">
        <v>30</v>
      </c>
      <c r="F45" t="s">
        <v>35</v>
      </c>
      <c r="G45" s="3">
        <v>6</v>
      </c>
      <c r="H45" s="3">
        <v>14000</v>
      </c>
      <c r="I45" s="3">
        <v>84000</v>
      </c>
    </row>
    <row r="46" spans="1:9" x14ac:dyDescent="0.45">
      <c r="A46" t="s">
        <v>88</v>
      </c>
      <c r="B46" s="2">
        <v>46068</v>
      </c>
      <c r="C46" t="s">
        <v>28</v>
      </c>
      <c r="D46" t="s">
        <v>38</v>
      </c>
      <c r="E46" t="s">
        <v>39</v>
      </c>
      <c r="F46" t="s">
        <v>3</v>
      </c>
      <c r="G46" s="3">
        <v>9</v>
      </c>
      <c r="H46" s="3">
        <v>8500</v>
      </c>
      <c r="I46" s="3">
        <v>76500</v>
      </c>
    </row>
    <row r="47" spans="1:9" x14ac:dyDescent="0.45">
      <c r="A47" t="s">
        <v>89</v>
      </c>
      <c r="B47" s="2">
        <v>46069</v>
      </c>
      <c r="C47" t="s">
        <v>33</v>
      </c>
      <c r="D47" t="s">
        <v>42</v>
      </c>
      <c r="E47" t="s">
        <v>43</v>
      </c>
      <c r="F47" t="s">
        <v>44</v>
      </c>
      <c r="G47" s="3">
        <v>2</v>
      </c>
      <c r="H47" s="3">
        <v>1200</v>
      </c>
      <c r="I47" s="3">
        <v>2400</v>
      </c>
    </row>
    <row r="48" spans="1:9" x14ac:dyDescent="0.45">
      <c r="A48" t="s">
        <v>90</v>
      </c>
      <c r="B48" s="2">
        <v>46070</v>
      </c>
      <c r="C48" t="s">
        <v>37</v>
      </c>
      <c r="D48" t="s">
        <v>46</v>
      </c>
      <c r="E48" t="s">
        <v>43</v>
      </c>
      <c r="F48" t="s">
        <v>4</v>
      </c>
      <c r="G48" s="3">
        <v>5</v>
      </c>
      <c r="H48" s="3">
        <v>900</v>
      </c>
      <c r="I48" s="3">
        <v>4500</v>
      </c>
    </row>
    <row r="49" spans="1:9" x14ac:dyDescent="0.45">
      <c r="A49" t="s">
        <v>91</v>
      </c>
      <c r="B49" s="2">
        <v>46071</v>
      </c>
      <c r="C49" t="s">
        <v>41</v>
      </c>
      <c r="D49" t="s">
        <v>48</v>
      </c>
      <c r="E49" t="s">
        <v>49</v>
      </c>
      <c r="F49" t="s">
        <v>5</v>
      </c>
      <c r="G49" s="3">
        <v>8</v>
      </c>
      <c r="H49" s="3">
        <v>3200</v>
      </c>
      <c r="I49" s="3">
        <v>25600</v>
      </c>
    </row>
    <row r="50" spans="1:9" x14ac:dyDescent="0.45">
      <c r="A50" t="s">
        <v>92</v>
      </c>
      <c r="B50" s="2">
        <v>46072</v>
      </c>
      <c r="C50" t="s">
        <v>28</v>
      </c>
      <c r="D50" t="s">
        <v>29</v>
      </c>
      <c r="E50" t="s">
        <v>30</v>
      </c>
      <c r="F50" t="s">
        <v>31</v>
      </c>
      <c r="G50" s="3">
        <v>1</v>
      </c>
      <c r="H50" s="3">
        <v>62000</v>
      </c>
      <c r="I50" s="3">
        <v>62000</v>
      </c>
    </row>
    <row r="51" spans="1:9" x14ac:dyDescent="0.45">
      <c r="A51" t="s">
        <v>93</v>
      </c>
      <c r="B51" s="2">
        <v>46073</v>
      </c>
      <c r="C51" t="s">
        <v>33</v>
      </c>
      <c r="D51" t="s">
        <v>34</v>
      </c>
      <c r="E51" t="s">
        <v>30</v>
      </c>
      <c r="F51" t="s">
        <v>35</v>
      </c>
      <c r="G51" s="3">
        <v>4</v>
      </c>
      <c r="H51" s="3">
        <v>14000</v>
      </c>
      <c r="I51" s="3">
        <v>56000</v>
      </c>
    </row>
    <row r="52" spans="1:9" x14ac:dyDescent="0.45">
      <c r="A52" t="s">
        <v>94</v>
      </c>
      <c r="B52" s="2">
        <v>46074</v>
      </c>
      <c r="C52" t="s">
        <v>37</v>
      </c>
      <c r="D52" t="s">
        <v>38</v>
      </c>
      <c r="E52" t="s">
        <v>39</v>
      </c>
      <c r="F52" t="s">
        <v>3</v>
      </c>
      <c r="G52" s="3">
        <v>7</v>
      </c>
      <c r="H52" s="3">
        <v>8500</v>
      </c>
      <c r="I52" s="3">
        <v>59500</v>
      </c>
    </row>
    <row r="53" spans="1:9" x14ac:dyDescent="0.45">
      <c r="A53" t="s">
        <v>95</v>
      </c>
      <c r="B53" s="2">
        <v>46075</v>
      </c>
      <c r="C53" t="s">
        <v>41</v>
      </c>
      <c r="D53" t="s">
        <v>42</v>
      </c>
      <c r="E53" t="s">
        <v>43</v>
      </c>
      <c r="F53" t="s">
        <v>44</v>
      </c>
      <c r="G53" s="3">
        <v>10</v>
      </c>
      <c r="H53" s="3">
        <v>1200</v>
      </c>
      <c r="I53" s="3">
        <v>12000</v>
      </c>
    </row>
    <row r="54" spans="1:9" x14ac:dyDescent="0.45">
      <c r="A54" t="s">
        <v>96</v>
      </c>
      <c r="B54" s="2">
        <v>46076</v>
      </c>
      <c r="C54" t="s">
        <v>28</v>
      </c>
      <c r="D54" t="s">
        <v>46</v>
      </c>
      <c r="E54" t="s">
        <v>43</v>
      </c>
      <c r="F54" t="s">
        <v>4</v>
      </c>
      <c r="G54" s="3">
        <v>3</v>
      </c>
      <c r="H54" s="3">
        <v>900</v>
      </c>
      <c r="I54" s="3">
        <v>2700</v>
      </c>
    </row>
    <row r="55" spans="1:9" x14ac:dyDescent="0.45">
      <c r="A55" t="s">
        <v>97</v>
      </c>
      <c r="B55" s="2">
        <v>46077</v>
      </c>
      <c r="C55" t="s">
        <v>33</v>
      </c>
      <c r="D55" t="s">
        <v>48</v>
      </c>
      <c r="E55" t="s">
        <v>49</v>
      </c>
      <c r="F55" t="s">
        <v>5</v>
      </c>
      <c r="G55" s="3">
        <v>6</v>
      </c>
      <c r="H55" s="3">
        <v>3200</v>
      </c>
      <c r="I55" s="3">
        <v>19200</v>
      </c>
    </row>
    <row r="56" spans="1:9" x14ac:dyDescent="0.45">
      <c r="A56" t="s">
        <v>98</v>
      </c>
      <c r="B56" s="2">
        <v>46078</v>
      </c>
      <c r="C56" t="s">
        <v>37</v>
      </c>
      <c r="D56" t="s">
        <v>29</v>
      </c>
      <c r="E56" t="s">
        <v>30</v>
      </c>
      <c r="F56" t="s">
        <v>31</v>
      </c>
      <c r="G56" s="3">
        <v>9</v>
      </c>
      <c r="H56" s="3">
        <v>62000</v>
      </c>
      <c r="I56" s="3">
        <v>558000</v>
      </c>
    </row>
    <row r="57" spans="1:9" x14ac:dyDescent="0.45">
      <c r="A57" t="s">
        <v>99</v>
      </c>
      <c r="B57" s="2">
        <v>46079</v>
      </c>
      <c r="C57" t="s">
        <v>41</v>
      </c>
      <c r="D57" t="s">
        <v>34</v>
      </c>
      <c r="E57" t="s">
        <v>30</v>
      </c>
      <c r="F57" t="s">
        <v>35</v>
      </c>
      <c r="G57" s="3">
        <v>2</v>
      </c>
      <c r="H57" s="3">
        <v>14000</v>
      </c>
      <c r="I57" s="3">
        <v>28000</v>
      </c>
    </row>
    <row r="58" spans="1:9" x14ac:dyDescent="0.45">
      <c r="A58" t="s">
        <v>100</v>
      </c>
      <c r="B58" s="2">
        <v>46080</v>
      </c>
      <c r="C58" t="s">
        <v>28</v>
      </c>
      <c r="D58" t="s">
        <v>38</v>
      </c>
      <c r="E58" t="s">
        <v>39</v>
      </c>
      <c r="F58" t="s">
        <v>3</v>
      </c>
      <c r="G58" s="3">
        <v>5</v>
      </c>
      <c r="H58" s="3">
        <v>8500</v>
      </c>
      <c r="I58" s="3">
        <v>42500</v>
      </c>
    </row>
    <row r="59" spans="1:9" x14ac:dyDescent="0.45">
      <c r="A59" t="s">
        <v>101</v>
      </c>
      <c r="B59" s="2">
        <v>46081</v>
      </c>
      <c r="C59" t="s">
        <v>33</v>
      </c>
      <c r="D59" t="s">
        <v>42</v>
      </c>
      <c r="E59" t="s">
        <v>43</v>
      </c>
      <c r="F59" t="s">
        <v>44</v>
      </c>
      <c r="G59" s="3">
        <v>8</v>
      </c>
      <c r="H59" s="3">
        <v>1200</v>
      </c>
      <c r="I59" s="3">
        <v>9600</v>
      </c>
    </row>
    <row r="60" spans="1:9" x14ac:dyDescent="0.45">
      <c r="A60" t="s">
        <v>102</v>
      </c>
      <c r="B60" s="2">
        <v>46082</v>
      </c>
      <c r="C60" t="s">
        <v>37</v>
      </c>
      <c r="D60" t="s">
        <v>46</v>
      </c>
      <c r="E60" t="s">
        <v>43</v>
      </c>
      <c r="F60" t="s">
        <v>4</v>
      </c>
      <c r="G60" s="3">
        <v>1</v>
      </c>
      <c r="H60" s="3">
        <v>900</v>
      </c>
      <c r="I60" s="3">
        <v>900</v>
      </c>
    </row>
    <row r="61" spans="1:9" x14ac:dyDescent="0.45">
      <c r="A61" t="s">
        <v>103</v>
      </c>
      <c r="B61" s="2">
        <v>46083</v>
      </c>
      <c r="C61" t="s">
        <v>41</v>
      </c>
      <c r="D61" t="s">
        <v>48</v>
      </c>
      <c r="E61" t="s">
        <v>49</v>
      </c>
      <c r="F61" t="s">
        <v>5</v>
      </c>
      <c r="G61" s="3">
        <v>4</v>
      </c>
      <c r="H61" s="3">
        <v>3200</v>
      </c>
      <c r="I61" s="3">
        <v>12800</v>
      </c>
    </row>
    <row r="62" spans="1:9" x14ac:dyDescent="0.45">
      <c r="A62" t="s">
        <v>104</v>
      </c>
      <c r="B62" s="2">
        <v>46024</v>
      </c>
      <c r="C62" t="s">
        <v>28</v>
      </c>
      <c r="D62" t="s">
        <v>29</v>
      </c>
      <c r="E62" t="s">
        <v>30</v>
      </c>
      <c r="F62" t="s">
        <v>31</v>
      </c>
      <c r="G62" s="3">
        <v>7</v>
      </c>
      <c r="H62" s="3">
        <v>62000</v>
      </c>
      <c r="I62" s="3">
        <v>434000</v>
      </c>
    </row>
    <row r="63" spans="1:9" x14ac:dyDescent="0.45">
      <c r="A63" t="s">
        <v>105</v>
      </c>
      <c r="B63" s="2">
        <v>46025</v>
      </c>
      <c r="C63" t="s">
        <v>33</v>
      </c>
      <c r="D63" t="s">
        <v>34</v>
      </c>
      <c r="E63" t="s">
        <v>30</v>
      </c>
      <c r="F63" t="s">
        <v>35</v>
      </c>
      <c r="G63" s="3">
        <v>10</v>
      </c>
      <c r="H63" s="3">
        <v>14000</v>
      </c>
      <c r="I63" s="3">
        <v>140000</v>
      </c>
    </row>
    <row r="64" spans="1:9" x14ac:dyDescent="0.45">
      <c r="A64" t="s">
        <v>106</v>
      </c>
      <c r="B64" s="2">
        <v>46026</v>
      </c>
      <c r="C64" t="s">
        <v>37</v>
      </c>
      <c r="D64" t="s">
        <v>38</v>
      </c>
      <c r="E64" t="s">
        <v>39</v>
      </c>
      <c r="F64" t="s">
        <v>3</v>
      </c>
      <c r="G64" s="3">
        <v>3</v>
      </c>
      <c r="H64" s="3">
        <v>8500</v>
      </c>
      <c r="I64" s="3">
        <v>25500</v>
      </c>
    </row>
    <row r="65" spans="1:9" x14ac:dyDescent="0.45">
      <c r="A65" t="s">
        <v>107</v>
      </c>
      <c r="B65" s="2">
        <v>46027</v>
      </c>
      <c r="C65" t="s">
        <v>41</v>
      </c>
      <c r="D65" t="s">
        <v>42</v>
      </c>
      <c r="E65" t="s">
        <v>43</v>
      </c>
      <c r="F65" t="s">
        <v>44</v>
      </c>
      <c r="G65" s="3">
        <v>6</v>
      </c>
      <c r="H65" s="3">
        <v>1200</v>
      </c>
      <c r="I65" s="3">
        <v>7200</v>
      </c>
    </row>
    <row r="66" spans="1:9" x14ac:dyDescent="0.45">
      <c r="A66" t="s">
        <v>108</v>
      </c>
      <c r="B66" s="2">
        <v>46028</v>
      </c>
      <c r="C66" t="s">
        <v>28</v>
      </c>
      <c r="D66" t="s">
        <v>46</v>
      </c>
      <c r="E66" t="s">
        <v>43</v>
      </c>
      <c r="F66" t="s">
        <v>4</v>
      </c>
      <c r="G66" s="3">
        <v>9</v>
      </c>
      <c r="H66" s="3">
        <v>900</v>
      </c>
      <c r="I66" s="3">
        <v>8100</v>
      </c>
    </row>
    <row r="67" spans="1:9" x14ac:dyDescent="0.45">
      <c r="A67" t="s">
        <v>109</v>
      </c>
      <c r="B67" s="2">
        <v>46029</v>
      </c>
      <c r="C67" t="s">
        <v>33</v>
      </c>
      <c r="D67" t="s">
        <v>48</v>
      </c>
      <c r="E67" t="s">
        <v>49</v>
      </c>
      <c r="F67" t="s">
        <v>5</v>
      </c>
      <c r="G67" s="3">
        <v>2</v>
      </c>
      <c r="H67" s="3">
        <v>3200</v>
      </c>
      <c r="I67" s="3">
        <v>6400</v>
      </c>
    </row>
    <row r="68" spans="1:9" x14ac:dyDescent="0.45">
      <c r="A68" t="s">
        <v>110</v>
      </c>
      <c r="B68" s="2">
        <v>46030</v>
      </c>
      <c r="C68" t="s">
        <v>37</v>
      </c>
      <c r="D68" t="s">
        <v>29</v>
      </c>
      <c r="E68" t="s">
        <v>30</v>
      </c>
      <c r="F68" t="s">
        <v>31</v>
      </c>
      <c r="G68" s="3">
        <v>5</v>
      </c>
      <c r="H68" s="3">
        <v>62000</v>
      </c>
      <c r="I68" s="3">
        <v>310000</v>
      </c>
    </row>
    <row r="69" spans="1:9" x14ac:dyDescent="0.45">
      <c r="A69" t="s">
        <v>111</v>
      </c>
      <c r="B69" s="2">
        <v>46031</v>
      </c>
      <c r="C69" t="s">
        <v>41</v>
      </c>
      <c r="D69" t="s">
        <v>34</v>
      </c>
      <c r="E69" t="s">
        <v>30</v>
      </c>
      <c r="F69" t="s">
        <v>35</v>
      </c>
      <c r="G69" s="3">
        <v>8</v>
      </c>
      <c r="H69" s="3">
        <v>14000</v>
      </c>
      <c r="I69" s="3">
        <v>112000</v>
      </c>
    </row>
    <row r="70" spans="1:9" x14ac:dyDescent="0.45">
      <c r="A70" t="s">
        <v>112</v>
      </c>
      <c r="B70" s="2">
        <v>46032</v>
      </c>
      <c r="C70" t="s">
        <v>28</v>
      </c>
      <c r="D70" t="s">
        <v>38</v>
      </c>
      <c r="E70" t="s">
        <v>39</v>
      </c>
      <c r="F70" t="s">
        <v>3</v>
      </c>
      <c r="G70" s="3">
        <v>1</v>
      </c>
      <c r="H70" s="3">
        <v>8500</v>
      </c>
      <c r="I70" s="3">
        <v>8500</v>
      </c>
    </row>
    <row r="71" spans="1:9" x14ac:dyDescent="0.45">
      <c r="A71" t="s">
        <v>113</v>
      </c>
      <c r="B71" s="2">
        <v>46033</v>
      </c>
      <c r="C71" t="s">
        <v>33</v>
      </c>
      <c r="D71" t="s">
        <v>42</v>
      </c>
      <c r="E71" t="s">
        <v>43</v>
      </c>
      <c r="F71" t="s">
        <v>44</v>
      </c>
      <c r="G71" s="3">
        <v>4</v>
      </c>
      <c r="H71" s="3">
        <v>1200</v>
      </c>
      <c r="I71" s="3">
        <v>4800</v>
      </c>
    </row>
    <row r="72" spans="1:9" x14ac:dyDescent="0.45">
      <c r="A72" t="s">
        <v>114</v>
      </c>
      <c r="B72" s="2">
        <v>46034</v>
      </c>
      <c r="C72" t="s">
        <v>37</v>
      </c>
      <c r="D72" t="s">
        <v>46</v>
      </c>
      <c r="E72" t="s">
        <v>43</v>
      </c>
      <c r="F72" t="s">
        <v>4</v>
      </c>
      <c r="G72" s="3">
        <v>7</v>
      </c>
      <c r="H72" s="3">
        <v>900</v>
      </c>
      <c r="I72" s="3">
        <v>6300</v>
      </c>
    </row>
    <row r="73" spans="1:9" x14ac:dyDescent="0.45">
      <c r="A73" t="s">
        <v>115</v>
      </c>
      <c r="B73" s="2">
        <v>46035</v>
      </c>
      <c r="C73" t="s">
        <v>41</v>
      </c>
      <c r="D73" t="s">
        <v>48</v>
      </c>
      <c r="E73" t="s">
        <v>49</v>
      </c>
      <c r="F73" t="s">
        <v>5</v>
      </c>
      <c r="G73" s="3">
        <v>10</v>
      </c>
      <c r="H73" s="3">
        <v>3200</v>
      </c>
      <c r="I73" s="3">
        <v>32000</v>
      </c>
    </row>
    <row r="74" spans="1:9" x14ac:dyDescent="0.45">
      <c r="A74" t="s">
        <v>116</v>
      </c>
      <c r="B74" s="2">
        <v>46036</v>
      </c>
      <c r="C74" t="s">
        <v>28</v>
      </c>
      <c r="D74" t="s">
        <v>29</v>
      </c>
      <c r="E74" t="s">
        <v>30</v>
      </c>
      <c r="F74" t="s">
        <v>31</v>
      </c>
      <c r="G74" s="3">
        <v>3</v>
      </c>
      <c r="H74" s="3">
        <v>62000</v>
      </c>
      <c r="I74" s="3">
        <v>186000</v>
      </c>
    </row>
    <row r="75" spans="1:9" x14ac:dyDescent="0.45">
      <c r="A75" t="s">
        <v>117</v>
      </c>
      <c r="B75" s="2">
        <v>46037</v>
      </c>
      <c r="C75" t="s">
        <v>33</v>
      </c>
      <c r="D75" t="s">
        <v>34</v>
      </c>
      <c r="E75" t="s">
        <v>30</v>
      </c>
      <c r="F75" t="s">
        <v>35</v>
      </c>
      <c r="G75" s="3">
        <v>6</v>
      </c>
      <c r="H75" s="3">
        <v>14000</v>
      </c>
      <c r="I75" s="3">
        <v>84000</v>
      </c>
    </row>
    <row r="76" spans="1:9" x14ac:dyDescent="0.45">
      <c r="A76" t="s">
        <v>118</v>
      </c>
      <c r="B76" s="2">
        <v>46038</v>
      </c>
      <c r="C76" t="s">
        <v>37</v>
      </c>
      <c r="D76" t="s">
        <v>38</v>
      </c>
      <c r="E76" t="s">
        <v>39</v>
      </c>
      <c r="F76" t="s">
        <v>3</v>
      </c>
      <c r="G76" s="3">
        <v>9</v>
      </c>
      <c r="H76" s="3">
        <v>8500</v>
      </c>
      <c r="I76" s="3">
        <v>76500</v>
      </c>
    </row>
    <row r="77" spans="1:9" x14ac:dyDescent="0.45">
      <c r="A77" t="s">
        <v>119</v>
      </c>
      <c r="B77" s="2">
        <v>46039</v>
      </c>
      <c r="C77" t="s">
        <v>41</v>
      </c>
      <c r="D77" t="s">
        <v>42</v>
      </c>
      <c r="E77" t="s">
        <v>43</v>
      </c>
      <c r="F77" t="s">
        <v>44</v>
      </c>
      <c r="G77" s="3">
        <v>2</v>
      </c>
      <c r="H77" s="3">
        <v>1200</v>
      </c>
      <c r="I77" s="3">
        <v>2400</v>
      </c>
    </row>
    <row r="78" spans="1:9" x14ac:dyDescent="0.45">
      <c r="A78" t="s">
        <v>120</v>
      </c>
      <c r="B78" s="2">
        <v>46040</v>
      </c>
      <c r="C78" t="s">
        <v>28</v>
      </c>
      <c r="D78" t="s">
        <v>46</v>
      </c>
      <c r="E78" t="s">
        <v>43</v>
      </c>
      <c r="F78" t="s">
        <v>4</v>
      </c>
      <c r="G78" s="3">
        <v>5</v>
      </c>
      <c r="H78" s="3">
        <v>900</v>
      </c>
      <c r="I78" s="3">
        <v>4500</v>
      </c>
    </row>
    <row r="79" spans="1:9" x14ac:dyDescent="0.45">
      <c r="A79" t="s">
        <v>121</v>
      </c>
      <c r="B79" s="2">
        <v>46041</v>
      </c>
      <c r="C79" t="s">
        <v>33</v>
      </c>
      <c r="D79" t="s">
        <v>48</v>
      </c>
      <c r="E79" t="s">
        <v>49</v>
      </c>
      <c r="F79" t="s">
        <v>5</v>
      </c>
      <c r="G79" s="3">
        <v>8</v>
      </c>
      <c r="H79" s="3">
        <v>3200</v>
      </c>
      <c r="I79" s="3">
        <v>25600</v>
      </c>
    </row>
    <row r="80" spans="1:9" x14ac:dyDescent="0.45">
      <c r="A80" t="s">
        <v>122</v>
      </c>
      <c r="B80" s="2">
        <v>46042</v>
      </c>
      <c r="C80" t="s">
        <v>37</v>
      </c>
      <c r="D80" t="s">
        <v>29</v>
      </c>
      <c r="E80" t="s">
        <v>30</v>
      </c>
      <c r="F80" t="s">
        <v>31</v>
      </c>
      <c r="G80" s="3">
        <v>1</v>
      </c>
      <c r="H80" s="3">
        <v>62000</v>
      </c>
      <c r="I80" s="3">
        <v>62000</v>
      </c>
    </row>
    <row r="81" spans="1:9" x14ac:dyDescent="0.45">
      <c r="A81" t="s">
        <v>123</v>
      </c>
      <c r="B81" s="2">
        <v>46043</v>
      </c>
      <c r="C81" t="s">
        <v>41</v>
      </c>
      <c r="D81" t="s">
        <v>34</v>
      </c>
      <c r="E81" t="s">
        <v>30</v>
      </c>
      <c r="F81" t="s">
        <v>35</v>
      </c>
      <c r="G81" s="3">
        <v>4</v>
      </c>
      <c r="H81" s="3">
        <v>14000</v>
      </c>
      <c r="I81" s="3">
        <v>56000</v>
      </c>
    </row>
    <row r="82" spans="1:9" x14ac:dyDescent="0.45">
      <c r="A82" t="s">
        <v>124</v>
      </c>
      <c r="B82" s="2">
        <v>46044</v>
      </c>
      <c r="C82" t="s">
        <v>28</v>
      </c>
      <c r="D82" t="s">
        <v>38</v>
      </c>
      <c r="E82" t="s">
        <v>39</v>
      </c>
      <c r="F82" t="s">
        <v>3</v>
      </c>
      <c r="G82" s="3">
        <v>7</v>
      </c>
      <c r="H82" s="3">
        <v>8500</v>
      </c>
      <c r="I82" s="3">
        <v>59500</v>
      </c>
    </row>
    <row r="83" spans="1:9" x14ac:dyDescent="0.45">
      <c r="A83" t="s">
        <v>125</v>
      </c>
      <c r="B83" s="2">
        <v>46045</v>
      </c>
      <c r="C83" t="s">
        <v>33</v>
      </c>
      <c r="D83" t="s">
        <v>42</v>
      </c>
      <c r="E83" t="s">
        <v>43</v>
      </c>
      <c r="F83" t="s">
        <v>44</v>
      </c>
      <c r="G83" s="3">
        <v>10</v>
      </c>
      <c r="H83" s="3">
        <v>1200</v>
      </c>
      <c r="I83" s="3">
        <v>12000</v>
      </c>
    </row>
    <row r="84" spans="1:9" x14ac:dyDescent="0.45">
      <c r="A84" t="s">
        <v>126</v>
      </c>
      <c r="B84" s="2">
        <v>46046</v>
      </c>
      <c r="C84" t="s">
        <v>37</v>
      </c>
      <c r="D84" t="s">
        <v>46</v>
      </c>
      <c r="E84" t="s">
        <v>43</v>
      </c>
      <c r="F84" t="s">
        <v>4</v>
      </c>
      <c r="G84" s="3">
        <v>3</v>
      </c>
      <c r="H84" s="3">
        <v>900</v>
      </c>
      <c r="I84" s="3">
        <v>2700</v>
      </c>
    </row>
    <row r="85" spans="1:9" x14ac:dyDescent="0.45">
      <c r="A85" t="s">
        <v>127</v>
      </c>
      <c r="B85" s="2">
        <v>46047</v>
      </c>
      <c r="C85" t="s">
        <v>41</v>
      </c>
      <c r="D85" t="s">
        <v>48</v>
      </c>
      <c r="E85" t="s">
        <v>49</v>
      </c>
      <c r="F85" t="s">
        <v>5</v>
      </c>
      <c r="G85" s="3">
        <v>6</v>
      </c>
      <c r="H85" s="3">
        <v>3200</v>
      </c>
      <c r="I85" s="3">
        <v>19200</v>
      </c>
    </row>
    <row r="86" spans="1:9" x14ac:dyDescent="0.45">
      <c r="A86" t="s">
        <v>128</v>
      </c>
      <c r="B86" s="2">
        <v>46048</v>
      </c>
      <c r="C86" t="s">
        <v>28</v>
      </c>
      <c r="D86" t="s">
        <v>29</v>
      </c>
      <c r="E86" t="s">
        <v>30</v>
      </c>
      <c r="F86" t="s">
        <v>31</v>
      </c>
      <c r="G86" s="3">
        <v>9</v>
      </c>
      <c r="H86" s="3">
        <v>62000</v>
      </c>
      <c r="I86" s="3">
        <v>558000</v>
      </c>
    </row>
    <row r="87" spans="1:9" x14ac:dyDescent="0.45">
      <c r="A87" t="s">
        <v>129</v>
      </c>
      <c r="B87" s="2">
        <v>46049</v>
      </c>
      <c r="C87" t="s">
        <v>33</v>
      </c>
      <c r="D87" t="s">
        <v>34</v>
      </c>
      <c r="E87" t="s">
        <v>30</v>
      </c>
      <c r="F87" t="s">
        <v>35</v>
      </c>
      <c r="G87" s="3">
        <v>2</v>
      </c>
      <c r="H87" s="3">
        <v>14000</v>
      </c>
      <c r="I87" s="3">
        <v>28000</v>
      </c>
    </row>
    <row r="88" spans="1:9" x14ac:dyDescent="0.45">
      <c r="A88" t="s">
        <v>130</v>
      </c>
      <c r="B88" s="2">
        <v>46050</v>
      </c>
      <c r="C88" t="s">
        <v>37</v>
      </c>
      <c r="D88" t="s">
        <v>38</v>
      </c>
      <c r="E88" t="s">
        <v>39</v>
      </c>
      <c r="F88" t="s">
        <v>3</v>
      </c>
      <c r="G88" s="3">
        <v>5</v>
      </c>
      <c r="H88" s="3">
        <v>8500</v>
      </c>
      <c r="I88" s="3">
        <v>42500</v>
      </c>
    </row>
    <row r="89" spans="1:9" x14ac:dyDescent="0.45">
      <c r="A89" t="s">
        <v>131</v>
      </c>
      <c r="B89" s="2">
        <v>46051</v>
      </c>
      <c r="C89" t="s">
        <v>41</v>
      </c>
      <c r="D89" t="s">
        <v>42</v>
      </c>
      <c r="E89" t="s">
        <v>43</v>
      </c>
      <c r="F89" t="s">
        <v>44</v>
      </c>
      <c r="G89" s="3">
        <v>8</v>
      </c>
      <c r="H89" s="3">
        <v>1200</v>
      </c>
      <c r="I89" s="3">
        <v>9600</v>
      </c>
    </row>
    <row r="90" spans="1:9" x14ac:dyDescent="0.45">
      <c r="A90" t="s">
        <v>132</v>
      </c>
      <c r="B90" s="2">
        <v>46052</v>
      </c>
      <c r="C90" t="s">
        <v>28</v>
      </c>
      <c r="D90" t="s">
        <v>46</v>
      </c>
      <c r="E90" t="s">
        <v>43</v>
      </c>
      <c r="F90" t="s">
        <v>4</v>
      </c>
      <c r="G90" s="3">
        <v>1</v>
      </c>
      <c r="H90" s="3">
        <v>900</v>
      </c>
      <c r="I90" s="3">
        <v>900</v>
      </c>
    </row>
    <row r="91" spans="1:9" x14ac:dyDescent="0.45">
      <c r="A91" t="s">
        <v>133</v>
      </c>
      <c r="B91" s="2">
        <v>46053</v>
      </c>
      <c r="C91" t="s">
        <v>33</v>
      </c>
      <c r="D91" t="s">
        <v>48</v>
      </c>
      <c r="E91" t="s">
        <v>49</v>
      </c>
      <c r="F91" t="s">
        <v>5</v>
      </c>
      <c r="G91" s="3">
        <v>4</v>
      </c>
      <c r="H91" s="3">
        <v>3200</v>
      </c>
      <c r="I91" s="3">
        <v>12800</v>
      </c>
    </row>
    <row r="92" spans="1:9" x14ac:dyDescent="0.45">
      <c r="A92" t="s">
        <v>134</v>
      </c>
      <c r="B92" s="2">
        <v>46054</v>
      </c>
      <c r="C92" t="s">
        <v>37</v>
      </c>
      <c r="D92" t="s">
        <v>29</v>
      </c>
      <c r="E92" t="s">
        <v>30</v>
      </c>
      <c r="F92" t="s">
        <v>31</v>
      </c>
      <c r="G92" s="3">
        <v>7</v>
      </c>
      <c r="H92" s="3">
        <v>62000</v>
      </c>
      <c r="I92" s="3">
        <v>434000</v>
      </c>
    </row>
    <row r="93" spans="1:9" x14ac:dyDescent="0.45">
      <c r="A93" t="s">
        <v>135</v>
      </c>
      <c r="B93" s="2">
        <v>46055</v>
      </c>
      <c r="C93" t="s">
        <v>41</v>
      </c>
      <c r="D93" t="s">
        <v>34</v>
      </c>
      <c r="E93" t="s">
        <v>30</v>
      </c>
      <c r="F93" t="s">
        <v>35</v>
      </c>
      <c r="G93" s="3">
        <v>10</v>
      </c>
      <c r="H93" s="3">
        <v>14000</v>
      </c>
      <c r="I93" s="3">
        <v>140000</v>
      </c>
    </row>
    <row r="94" spans="1:9" x14ac:dyDescent="0.45">
      <c r="A94" t="s">
        <v>136</v>
      </c>
      <c r="B94" s="2">
        <v>46056</v>
      </c>
      <c r="C94" t="s">
        <v>28</v>
      </c>
      <c r="D94" t="s">
        <v>38</v>
      </c>
      <c r="E94" t="s">
        <v>39</v>
      </c>
      <c r="F94" t="s">
        <v>3</v>
      </c>
      <c r="G94" s="3">
        <v>3</v>
      </c>
      <c r="H94" s="3">
        <v>8500</v>
      </c>
      <c r="I94" s="3">
        <v>25500</v>
      </c>
    </row>
    <row r="95" spans="1:9" x14ac:dyDescent="0.45">
      <c r="A95" t="s">
        <v>137</v>
      </c>
      <c r="B95" s="2">
        <v>46057</v>
      </c>
      <c r="C95" t="s">
        <v>33</v>
      </c>
      <c r="D95" t="s">
        <v>42</v>
      </c>
      <c r="E95" t="s">
        <v>43</v>
      </c>
      <c r="F95" t="s">
        <v>44</v>
      </c>
      <c r="G95" s="3">
        <v>6</v>
      </c>
      <c r="H95" s="3">
        <v>1200</v>
      </c>
      <c r="I95" s="3">
        <v>7200</v>
      </c>
    </row>
    <row r="96" spans="1:9" x14ac:dyDescent="0.45">
      <c r="A96" t="s">
        <v>138</v>
      </c>
      <c r="B96" s="2">
        <v>46058</v>
      </c>
      <c r="C96" t="s">
        <v>37</v>
      </c>
      <c r="D96" t="s">
        <v>46</v>
      </c>
      <c r="E96" t="s">
        <v>43</v>
      </c>
      <c r="F96" t="s">
        <v>4</v>
      </c>
      <c r="G96" s="3">
        <v>9</v>
      </c>
      <c r="H96" s="3">
        <v>900</v>
      </c>
      <c r="I96" s="3">
        <v>8100</v>
      </c>
    </row>
    <row r="97" spans="1:9" x14ac:dyDescent="0.45">
      <c r="A97" t="s">
        <v>139</v>
      </c>
      <c r="B97" s="2">
        <v>46059</v>
      </c>
      <c r="C97" t="s">
        <v>41</v>
      </c>
      <c r="D97" t="s">
        <v>48</v>
      </c>
      <c r="E97" t="s">
        <v>49</v>
      </c>
      <c r="F97" t="s">
        <v>5</v>
      </c>
      <c r="G97" s="3">
        <v>2</v>
      </c>
      <c r="H97" s="3">
        <v>3200</v>
      </c>
      <c r="I97" s="3">
        <v>6400</v>
      </c>
    </row>
    <row r="98" spans="1:9" x14ac:dyDescent="0.45">
      <c r="A98" t="s">
        <v>140</v>
      </c>
      <c r="B98" s="2">
        <v>46060</v>
      </c>
      <c r="C98" t="s">
        <v>28</v>
      </c>
      <c r="D98" t="s">
        <v>29</v>
      </c>
      <c r="E98" t="s">
        <v>30</v>
      </c>
      <c r="F98" t="s">
        <v>31</v>
      </c>
      <c r="G98" s="3">
        <v>5</v>
      </c>
      <c r="H98" s="3">
        <v>62000</v>
      </c>
      <c r="I98" s="3">
        <v>310000</v>
      </c>
    </row>
    <row r="99" spans="1:9" x14ac:dyDescent="0.45">
      <c r="A99" t="s">
        <v>141</v>
      </c>
      <c r="B99" s="2">
        <v>46061</v>
      </c>
      <c r="C99" t="s">
        <v>33</v>
      </c>
      <c r="D99" t="s">
        <v>34</v>
      </c>
      <c r="E99" t="s">
        <v>30</v>
      </c>
      <c r="F99" t="s">
        <v>35</v>
      </c>
      <c r="G99" s="3">
        <v>8</v>
      </c>
      <c r="H99" s="3">
        <v>14000</v>
      </c>
      <c r="I99" s="3">
        <v>112000</v>
      </c>
    </row>
    <row r="100" spans="1:9" x14ac:dyDescent="0.45">
      <c r="A100" t="s">
        <v>142</v>
      </c>
      <c r="B100" s="2">
        <v>46062</v>
      </c>
      <c r="C100" t="s">
        <v>37</v>
      </c>
      <c r="D100" t="s">
        <v>38</v>
      </c>
      <c r="E100" t="s">
        <v>39</v>
      </c>
      <c r="F100" t="s">
        <v>3</v>
      </c>
      <c r="G100" s="3">
        <v>1</v>
      </c>
      <c r="H100" s="3">
        <v>8500</v>
      </c>
      <c r="I100" s="3">
        <v>8500</v>
      </c>
    </row>
    <row r="101" spans="1:9" x14ac:dyDescent="0.45">
      <c r="A101" t="s">
        <v>143</v>
      </c>
      <c r="B101" s="2">
        <v>46063</v>
      </c>
      <c r="C101" t="s">
        <v>41</v>
      </c>
      <c r="D101" t="s">
        <v>42</v>
      </c>
      <c r="E101" t="s">
        <v>43</v>
      </c>
      <c r="F101" t="s">
        <v>44</v>
      </c>
      <c r="G101" s="3">
        <v>4</v>
      </c>
      <c r="H101" s="3">
        <v>1200</v>
      </c>
      <c r="I101" s="3">
        <v>4800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FA4F-61A7-4EDB-8672-B1C8D5059744}">
  <dimension ref="A1:S35"/>
  <sheetViews>
    <sheetView topLeftCell="A19" zoomScale="130" zoomScaleNormal="130" workbookViewId="0">
      <selection activeCell="E40" sqref="E40"/>
    </sheetView>
  </sheetViews>
  <sheetFormatPr defaultRowHeight="14.25" x14ac:dyDescent="0.45"/>
  <cols>
    <col min="1" max="1" width="10.86328125" bestFit="1" customWidth="1"/>
    <col min="2" max="2" width="9.9296875" bestFit="1" customWidth="1"/>
    <col min="3" max="3" width="6.46484375" bestFit="1" customWidth="1"/>
    <col min="4" max="4" width="10.53125" bestFit="1" customWidth="1"/>
    <col min="5" max="5" width="15.1328125" bestFit="1" customWidth="1"/>
    <col min="6" max="6" width="10.19921875" bestFit="1" customWidth="1"/>
    <col min="7" max="7" width="9" bestFit="1" customWidth="1"/>
    <col min="8" max="8" width="8.73046875" bestFit="1" customWidth="1"/>
    <col min="9" max="9" width="7.9296875" bestFit="1" customWidth="1"/>
  </cols>
  <sheetData>
    <row r="1" spans="1:19" x14ac:dyDescent="0.45">
      <c r="A1" s="1" t="s">
        <v>21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</v>
      </c>
    </row>
    <row r="2" spans="1:19" x14ac:dyDescent="0.45">
      <c r="A2" t="s">
        <v>27</v>
      </c>
      <c r="B2" s="2">
        <v>46024</v>
      </c>
      <c r="C2" t="s">
        <v>28</v>
      </c>
      <c r="D2" t="s">
        <v>29</v>
      </c>
      <c r="E2" t="s">
        <v>30</v>
      </c>
      <c r="F2" t="s">
        <v>31</v>
      </c>
      <c r="G2" s="3">
        <v>7</v>
      </c>
      <c r="H2" s="3">
        <v>62000</v>
      </c>
      <c r="I2" s="3">
        <v>434000</v>
      </c>
    </row>
    <row r="3" spans="1:19" x14ac:dyDescent="0.45">
      <c r="A3" t="s">
        <v>32</v>
      </c>
      <c r="B3" s="2">
        <v>46025</v>
      </c>
      <c r="C3" t="s">
        <v>33</v>
      </c>
      <c r="D3" t="s">
        <v>34</v>
      </c>
      <c r="E3" t="s">
        <v>30</v>
      </c>
      <c r="F3" t="s">
        <v>35</v>
      </c>
      <c r="G3" s="3">
        <v>10</v>
      </c>
      <c r="H3" s="3">
        <v>14000</v>
      </c>
      <c r="I3" s="3">
        <v>140000</v>
      </c>
    </row>
    <row r="4" spans="1:19" x14ac:dyDescent="0.45">
      <c r="A4" t="s">
        <v>36</v>
      </c>
      <c r="B4" s="2">
        <v>46026</v>
      </c>
      <c r="C4" t="s">
        <v>37</v>
      </c>
      <c r="D4" t="s">
        <v>38</v>
      </c>
      <c r="E4" t="s">
        <v>39</v>
      </c>
      <c r="F4" t="s">
        <v>3</v>
      </c>
      <c r="G4" s="3">
        <v>3</v>
      </c>
      <c r="H4" s="3">
        <v>8500</v>
      </c>
      <c r="I4" s="3">
        <v>25500</v>
      </c>
      <c r="K4" s="1" t="s">
        <v>159</v>
      </c>
    </row>
    <row r="5" spans="1:19" x14ac:dyDescent="0.45">
      <c r="A5" t="s">
        <v>40</v>
      </c>
      <c r="B5" s="2">
        <v>46027</v>
      </c>
      <c r="C5" t="s">
        <v>41</v>
      </c>
      <c r="D5" t="s">
        <v>42</v>
      </c>
      <c r="E5" t="s">
        <v>43</v>
      </c>
      <c r="F5" t="s">
        <v>44</v>
      </c>
      <c r="G5" s="3">
        <v>6</v>
      </c>
      <c r="H5" s="3">
        <v>1200</v>
      </c>
      <c r="I5" s="3">
        <v>7200</v>
      </c>
      <c r="K5" s="1" t="str" cm="1">
        <f t="array" ref="K5:S19">_xlfn._xlws.SORT(A1:I15,9,-1)</f>
        <v>Order ID</v>
      </c>
      <c r="L5" s="1" t="str">
        <v>Order Date</v>
      </c>
      <c r="M5" s="1" t="str">
        <v>Region</v>
      </c>
      <c r="N5" s="1" t="str">
        <v>Salesperson</v>
      </c>
      <c r="O5" s="1" t="str">
        <v>Product Category</v>
      </c>
      <c r="P5" s="1" t="str">
        <v>Product</v>
      </c>
      <c r="Q5" s="1" t="str">
        <v>Units Sold</v>
      </c>
      <c r="R5" s="1" t="str">
        <v>Unit Price</v>
      </c>
      <c r="S5" s="1" t="str">
        <v>Revenue</v>
      </c>
    </row>
    <row r="6" spans="1:19" x14ac:dyDescent="0.45">
      <c r="A6" t="s">
        <v>45</v>
      </c>
      <c r="B6" s="2">
        <v>46028</v>
      </c>
      <c r="C6" t="s">
        <v>28</v>
      </c>
      <c r="D6" t="s">
        <v>46</v>
      </c>
      <c r="E6" t="s">
        <v>43</v>
      </c>
      <c r="F6" t="s">
        <v>4</v>
      </c>
      <c r="G6" s="3">
        <v>9</v>
      </c>
      <c r="H6" s="3">
        <v>900</v>
      </c>
      <c r="I6" s="3">
        <v>8100</v>
      </c>
      <c r="K6" t="str">
        <v>ORD-100001</v>
      </c>
      <c r="L6">
        <v>46024</v>
      </c>
      <c r="M6" t="str">
        <v>North</v>
      </c>
      <c r="N6" t="str">
        <v>Rahul</v>
      </c>
      <c r="O6" t="str">
        <v>Electronics</v>
      </c>
      <c r="P6" t="str">
        <v>Laptop</v>
      </c>
      <c r="Q6">
        <v>7</v>
      </c>
      <c r="R6">
        <v>62000</v>
      </c>
      <c r="S6">
        <v>434000</v>
      </c>
    </row>
    <row r="7" spans="1:19" x14ac:dyDescent="0.45">
      <c r="A7" t="s">
        <v>47</v>
      </c>
      <c r="B7" s="2">
        <v>46029</v>
      </c>
      <c r="C7" t="s">
        <v>33</v>
      </c>
      <c r="D7" t="s">
        <v>48</v>
      </c>
      <c r="E7" t="s">
        <v>49</v>
      </c>
      <c r="F7" t="s">
        <v>5</v>
      </c>
      <c r="G7" s="3">
        <v>2</v>
      </c>
      <c r="H7" s="3">
        <v>3200</v>
      </c>
      <c r="I7" s="3">
        <v>6400</v>
      </c>
      <c r="K7" t="str">
        <v>ORD-100007</v>
      </c>
      <c r="L7">
        <v>46030</v>
      </c>
      <c r="M7" t="str">
        <v>East</v>
      </c>
      <c r="N7" t="str">
        <v>Rahul</v>
      </c>
      <c r="O7" t="str">
        <v>Electronics</v>
      </c>
      <c r="P7" t="str">
        <v>Laptop</v>
      </c>
      <c r="Q7">
        <v>5</v>
      </c>
      <c r="R7">
        <v>62000</v>
      </c>
      <c r="S7">
        <v>310000</v>
      </c>
    </row>
    <row r="8" spans="1:19" x14ac:dyDescent="0.45">
      <c r="A8" t="s">
        <v>50</v>
      </c>
      <c r="B8" s="2">
        <v>46030</v>
      </c>
      <c r="C8" t="s">
        <v>37</v>
      </c>
      <c r="D8" t="s">
        <v>29</v>
      </c>
      <c r="E8" t="s">
        <v>30</v>
      </c>
      <c r="F8" t="s">
        <v>31</v>
      </c>
      <c r="G8" s="3">
        <v>5</v>
      </c>
      <c r="H8" s="3">
        <v>62000</v>
      </c>
      <c r="I8" s="3">
        <v>310000</v>
      </c>
      <c r="K8" t="str">
        <v>ORD-100013</v>
      </c>
      <c r="L8">
        <v>46036</v>
      </c>
      <c r="M8" t="str">
        <v>North</v>
      </c>
      <c r="N8" t="str">
        <v>Rahul</v>
      </c>
      <c r="O8" t="str">
        <v>Electronics</v>
      </c>
      <c r="P8" t="str">
        <v>Laptop</v>
      </c>
      <c r="Q8">
        <v>3</v>
      </c>
      <c r="R8">
        <v>62000</v>
      </c>
      <c r="S8">
        <v>186000</v>
      </c>
    </row>
    <row r="9" spans="1:19" x14ac:dyDescent="0.45">
      <c r="A9" t="s">
        <v>51</v>
      </c>
      <c r="B9" s="2">
        <v>46031</v>
      </c>
      <c r="C9" t="s">
        <v>41</v>
      </c>
      <c r="D9" t="s">
        <v>34</v>
      </c>
      <c r="E9" t="s">
        <v>30</v>
      </c>
      <c r="F9" t="s">
        <v>35</v>
      </c>
      <c r="G9" s="3">
        <v>8</v>
      </c>
      <c r="H9" s="3">
        <v>14000</v>
      </c>
      <c r="I9" s="3">
        <v>112000</v>
      </c>
      <c r="K9" t="str">
        <v>ORD-100002</v>
      </c>
      <c r="L9">
        <v>46025</v>
      </c>
      <c r="M9" t="str">
        <v>South</v>
      </c>
      <c r="N9" t="str">
        <v>Priya</v>
      </c>
      <c r="O9" t="str">
        <v>Electronics</v>
      </c>
      <c r="P9" t="str">
        <v>Monitor</v>
      </c>
      <c r="Q9">
        <v>10</v>
      </c>
      <c r="R9">
        <v>14000</v>
      </c>
      <c r="S9">
        <v>140000</v>
      </c>
    </row>
    <row r="10" spans="1:19" x14ac:dyDescent="0.45">
      <c r="A10" t="s">
        <v>52</v>
      </c>
      <c r="B10" s="2">
        <v>46032</v>
      </c>
      <c r="C10" t="s">
        <v>28</v>
      </c>
      <c r="D10" t="s">
        <v>38</v>
      </c>
      <c r="E10" t="s">
        <v>39</v>
      </c>
      <c r="F10" t="s">
        <v>3</v>
      </c>
      <c r="G10" s="3">
        <v>1</v>
      </c>
      <c r="H10" s="3">
        <v>8500</v>
      </c>
      <c r="I10" s="3">
        <v>8500</v>
      </c>
      <c r="K10" t="str">
        <v>ORD-100008</v>
      </c>
      <c r="L10">
        <v>46031</v>
      </c>
      <c r="M10" t="str">
        <v>West</v>
      </c>
      <c r="N10" t="str">
        <v>Priya</v>
      </c>
      <c r="O10" t="str">
        <v>Electronics</v>
      </c>
      <c r="P10" t="str">
        <v>Monitor</v>
      </c>
      <c r="Q10">
        <v>8</v>
      </c>
      <c r="R10">
        <v>14000</v>
      </c>
      <c r="S10">
        <v>112000</v>
      </c>
    </row>
    <row r="11" spans="1:19" x14ac:dyDescent="0.45">
      <c r="A11" t="s">
        <v>53</v>
      </c>
      <c r="B11" s="2">
        <v>46033</v>
      </c>
      <c r="C11" t="s">
        <v>33</v>
      </c>
      <c r="D11" t="s">
        <v>42</v>
      </c>
      <c r="E11" t="s">
        <v>43</v>
      </c>
      <c r="F11" t="s">
        <v>44</v>
      </c>
      <c r="G11" s="3">
        <v>4</v>
      </c>
      <c r="H11" s="3">
        <v>1200</v>
      </c>
      <c r="I11" s="3">
        <v>4800</v>
      </c>
      <c r="K11" t="str">
        <v>ORD-100014</v>
      </c>
      <c r="L11">
        <v>46037</v>
      </c>
      <c r="M11" t="str">
        <v>South</v>
      </c>
      <c r="N11" t="str">
        <v>Priya</v>
      </c>
      <c r="O11" t="str">
        <v>Electronics</v>
      </c>
      <c r="P11" t="str">
        <v>Monitor</v>
      </c>
      <c r="Q11">
        <v>6</v>
      </c>
      <c r="R11">
        <v>14000</v>
      </c>
      <c r="S11">
        <v>84000</v>
      </c>
    </row>
    <row r="12" spans="1:19" x14ac:dyDescent="0.45">
      <c r="A12" t="s">
        <v>54</v>
      </c>
      <c r="B12" s="2">
        <v>46034</v>
      </c>
      <c r="C12" t="s">
        <v>37</v>
      </c>
      <c r="D12" t="s">
        <v>46</v>
      </c>
      <c r="E12" t="s">
        <v>43</v>
      </c>
      <c r="F12" t="s">
        <v>4</v>
      </c>
      <c r="G12" s="3">
        <v>7</v>
      </c>
      <c r="H12" s="3">
        <v>900</v>
      </c>
      <c r="I12" s="3">
        <v>6300</v>
      </c>
      <c r="K12" t="str">
        <v>ORD-100012</v>
      </c>
      <c r="L12">
        <v>46035</v>
      </c>
      <c r="M12" t="str">
        <v>West</v>
      </c>
      <c r="N12" t="str">
        <v>Neha</v>
      </c>
      <c r="O12" t="str">
        <v>Networking</v>
      </c>
      <c r="P12" t="str">
        <v>Router</v>
      </c>
      <c r="Q12">
        <v>10</v>
      </c>
      <c r="R12">
        <v>3200</v>
      </c>
      <c r="S12">
        <v>32000</v>
      </c>
    </row>
    <row r="13" spans="1:19" x14ac:dyDescent="0.45">
      <c r="A13" t="s">
        <v>55</v>
      </c>
      <c r="B13" s="2">
        <v>46035</v>
      </c>
      <c r="C13" t="s">
        <v>41</v>
      </c>
      <c r="D13" t="s">
        <v>48</v>
      </c>
      <c r="E13" t="s">
        <v>49</v>
      </c>
      <c r="F13" t="s">
        <v>5</v>
      </c>
      <c r="G13" s="3">
        <v>10</v>
      </c>
      <c r="H13" s="3">
        <v>3200</v>
      </c>
      <c r="I13" s="3">
        <v>32000</v>
      </c>
      <c r="K13" t="str">
        <v>ORD-100003</v>
      </c>
      <c r="L13">
        <v>46026</v>
      </c>
      <c r="M13" t="str">
        <v>East</v>
      </c>
      <c r="N13" t="str">
        <v>Amit</v>
      </c>
      <c r="O13" t="str">
        <v>Furniture</v>
      </c>
      <c r="P13" t="str">
        <v>Office Chair</v>
      </c>
      <c r="Q13">
        <v>3</v>
      </c>
      <c r="R13">
        <v>8500</v>
      </c>
      <c r="S13">
        <v>25500</v>
      </c>
    </row>
    <row r="14" spans="1:19" x14ac:dyDescent="0.45">
      <c r="A14" t="s">
        <v>56</v>
      </c>
      <c r="B14" s="2">
        <v>46036</v>
      </c>
      <c r="C14" t="s">
        <v>28</v>
      </c>
      <c r="D14" t="s">
        <v>29</v>
      </c>
      <c r="E14" t="s">
        <v>30</v>
      </c>
      <c r="F14" t="s">
        <v>31</v>
      </c>
      <c r="G14" s="3">
        <v>3</v>
      </c>
      <c r="H14" s="3">
        <v>62000</v>
      </c>
      <c r="I14" s="3">
        <v>186000</v>
      </c>
      <c r="K14" t="str">
        <v>ORD-100009</v>
      </c>
      <c r="L14">
        <v>46032</v>
      </c>
      <c r="M14" t="str">
        <v>North</v>
      </c>
      <c r="N14" t="str">
        <v>Amit</v>
      </c>
      <c r="O14" t="str">
        <v>Furniture</v>
      </c>
      <c r="P14" t="str">
        <v>Office Chair</v>
      </c>
      <c r="Q14">
        <v>1</v>
      </c>
      <c r="R14">
        <v>8500</v>
      </c>
      <c r="S14">
        <v>8500</v>
      </c>
    </row>
    <row r="15" spans="1:19" x14ac:dyDescent="0.45">
      <c r="A15" t="s">
        <v>57</v>
      </c>
      <c r="B15" s="2">
        <v>46037</v>
      </c>
      <c r="C15" t="s">
        <v>33</v>
      </c>
      <c r="D15" t="s">
        <v>34</v>
      </c>
      <c r="E15" t="s">
        <v>30</v>
      </c>
      <c r="F15" t="s">
        <v>35</v>
      </c>
      <c r="G15" s="3">
        <v>6</v>
      </c>
      <c r="H15" s="3">
        <v>14000</v>
      </c>
      <c r="I15" s="3">
        <v>84000</v>
      </c>
      <c r="K15" t="str">
        <v>ORD-100005</v>
      </c>
      <c r="L15">
        <v>46028</v>
      </c>
      <c r="M15" t="str">
        <v>North</v>
      </c>
      <c r="N15" t="str">
        <v>Karan</v>
      </c>
      <c r="O15" t="str">
        <v>Accessories</v>
      </c>
      <c r="P15" t="str">
        <v>Mouse</v>
      </c>
      <c r="Q15">
        <v>9</v>
      </c>
      <c r="R15">
        <v>900</v>
      </c>
      <c r="S15">
        <v>8100</v>
      </c>
    </row>
    <row r="16" spans="1:19" x14ac:dyDescent="0.45">
      <c r="K16" t="str">
        <v>ORD-100004</v>
      </c>
      <c r="L16">
        <v>46027</v>
      </c>
      <c r="M16" t="str">
        <v>West</v>
      </c>
      <c r="N16" t="str">
        <v>Sneha</v>
      </c>
      <c r="O16" t="str">
        <v>Accessories</v>
      </c>
      <c r="P16" t="str">
        <v>Keyboard</v>
      </c>
      <c r="Q16">
        <v>6</v>
      </c>
      <c r="R16">
        <v>1200</v>
      </c>
      <c r="S16">
        <v>7200</v>
      </c>
    </row>
    <row r="17" spans="1:19" x14ac:dyDescent="0.45">
      <c r="K17" t="str">
        <v>ORD-100006</v>
      </c>
      <c r="L17">
        <v>46029</v>
      </c>
      <c r="M17" t="str">
        <v>South</v>
      </c>
      <c r="N17" t="str">
        <v>Neha</v>
      </c>
      <c r="O17" t="str">
        <v>Networking</v>
      </c>
      <c r="P17" t="str">
        <v>Router</v>
      </c>
      <c r="Q17">
        <v>2</v>
      </c>
      <c r="R17">
        <v>3200</v>
      </c>
      <c r="S17">
        <v>6400</v>
      </c>
    </row>
    <row r="18" spans="1:19" x14ac:dyDescent="0.45">
      <c r="K18" t="str">
        <v>ORD-100011</v>
      </c>
      <c r="L18">
        <v>46034</v>
      </c>
      <c r="M18" t="str">
        <v>East</v>
      </c>
      <c r="N18" t="str">
        <v>Karan</v>
      </c>
      <c r="O18" t="str">
        <v>Accessories</v>
      </c>
      <c r="P18" t="str">
        <v>Mouse</v>
      </c>
      <c r="Q18">
        <v>7</v>
      </c>
      <c r="R18">
        <v>900</v>
      </c>
      <c r="S18">
        <v>6300</v>
      </c>
    </row>
    <row r="19" spans="1:19" x14ac:dyDescent="0.45">
      <c r="A19" s="1" t="s">
        <v>165</v>
      </c>
      <c r="K19" t="str">
        <v>ORD-100010</v>
      </c>
      <c r="L19">
        <v>46033</v>
      </c>
      <c r="M19" t="str">
        <v>South</v>
      </c>
      <c r="N19" t="str">
        <v>Sneha</v>
      </c>
      <c r="O19" t="str">
        <v>Accessories</v>
      </c>
      <c r="P19" t="str">
        <v>Keyboard</v>
      </c>
      <c r="Q19">
        <v>4</v>
      </c>
      <c r="R19">
        <v>1200</v>
      </c>
      <c r="S19">
        <v>4800</v>
      </c>
    </row>
    <row r="20" spans="1:19" x14ac:dyDescent="0.45">
      <c r="A20" s="1" t="s">
        <v>21</v>
      </c>
      <c r="B20" s="1" t="s">
        <v>1</v>
      </c>
      <c r="C20" s="1" t="s">
        <v>22</v>
      </c>
      <c r="D20" s="1" t="s">
        <v>23</v>
      </c>
      <c r="E20" s="1" t="s">
        <v>24</v>
      </c>
      <c r="F20" s="1" t="s">
        <v>0</v>
      </c>
      <c r="G20" s="1" t="s">
        <v>25</v>
      </c>
      <c r="H20" s="1" t="s">
        <v>26</v>
      </c>
      <c r="I20" s="1" t="s">
        <v>2</v>
      </c>
    </row>
    <row r="21" spans="1:19" x14ac:dyDescent="0.45">
      <c r="A21" t="str" cm="1">
        <f t="array" ref="A21:I34">_xlfn._xlws.SORT(A2:I15,5,1)</f>
        <v>ORD-100004</v>
      </c>
      <c r="B21">
        <v>46027</v>
      </c>
      <c r="C21" t="str">
        <v>West</v>
      </c>
      <c r="D21" t="str">
        <v>Sneha</v>
      </c>
      <c r="E21" t="str">
        <v>Accessories</v>
      </c>
      <c r="F21" t="str">
        <v>Keyboard</v>
      </c>
      <c r="G21">
        <v>6</v>
      </c>
      <c r="H21">
        <v>1200</v>
      </c>
      <c r="I21">
        <v>7200</v>
      </c>
      <c r="K21" s="1" t="s">
        <v>169</v>
      </c>
    </row>
    <row r="22" spans="1:19" x14ac:dyDescent="0.45">
      <c r="A22" t="str">
        <v>ORD-100005</v>
      </c>
      <c r="B22">
        <v>46028</v>
      </c>
      <c r="C22" t="str">
        <v>North</v>
      </c>
      <c r="D22" t="str">
        <v>Karan</v>
      </c>
      <c r="E22" t="str">
        <v>Accessories</v>
      </c>
      <c r="F22" t="str">
        <v>Mouse</v>
      </c>
      <c r="G22">
        <v>9</v>
      </c>
      <c r="H22">
        <v>900</v>
      </c>
      <c r="I22">
        <v>8100</v>
      </c>
      <c r="K22" t="str" cm="1">
        <f t="array" ref="K22:S35">_xlfn.SORTBY(A2:I15,I2:I15,-1)</f>
        <v>ORD-100001</v>
      </c>
      <c r="L22">
        <v>46024</v>
      </c>
      <c r="M22" t="str">
        <v>North</v>
      </c>
      <c r="N22" t="str">
        <v>Rahul</v>
      </c>
      <c r="O22" t="str">
        <v>Electronics</v>
      </c>
      <c r="P22" t="str">
        <v>Laptop</v>
      </c>
      <c r="Q22">
        <v>7</v>
      </c>
      <c r="R22">
        <v>62000</v>
      </c>
      <c r="S22">
        <v>434000</v>
      </c>
    </row>
    <row r="23" spans="1:19" x14ac:dyDescent="0.45">
      <c r="A23" t="str">
        <v>ORD-100010</v>
      </c>
      <c r="B23">
        <v>46033</v>
      </c>
      <c r="C23" t="str">
        <v>South</v>
      </c>
      <c r="D23" t="str">
        <v>Sneha</v>
      </c>
      <c r="E23" t="str">
        <v>Accessories</v>
      </c>
      <c r="F23" t="str">
        <v>Keyboard</v>
      </c>
      <c r="G23">
        <v>4</v>
      </c>
      <c r="H23">
        <v>1200</v>
      </c>
      <c r="I23">
        <v>4800</v>
      </c>
      <c r="K23" t="str">
        <v>ORD-100007</v>
      </c>
      <c r="L23">
        <v>46030</v>
      </c>
      <c r="M23" t="str">
        <v>East</v>
      </c>
      <c r="N23" t="str">
        <v>Rahul</v>
      </c>
      <c r="O23" t="str">
        <v>Electronics</v>
      </c>
      <c r="P23" t="str">
        <v>Laptop</v>
      </c>
      <c r="Q23">
        <v>5</v>
      </c>
      <c r="R23">
        <v>62000</v>
      </c>
      <c r="S23">
        <v>310000</v>
      </c>
    </row>
    <row r="24" spans="1:19" x14ac:dyDescent="0.45">
      <c r="A24" t="str">
        <v>ORD-100011</v>
      </c>
      <c r="B24">
        <v>46034</v>
      </c>
      <c r="C24" t="str">
        <v>East</v>
      </c>
      <c r="D24" t="str">
        <v>Karan</v>
      </c>
      <c r="E24" t="str">
        <v>Accessories</v>
      </c>
      <c r="F24" t="str">
        <v>Mouse</v>
      </c>
      <c r="G24">
        <v>7</v>
      </c>
      <c r="H24">
        <v>900</v>
      </c>
      <c r="I24">
        <v>6300</v>
      </c>
      <c r="K24" t="str">
        <v>ORD-100013</v>
      </c>
      <c r="L24">
        <v>46036</v>
      </c>
      <c r="M24" t="str">
        <v>North</v>
      </c>
      <c r="N24" t="str">
        <v>Rahul</v>
      </c>
      <c r="O24" t="str">
        <v>Electronics</v>
      </c>
      <c r="P24" t="str">
        <v>Laptop</v>
      </c>
      <c r="Q24">
        <v>3</v>
      </c>
      <c r="R24">
        <v>62000</v>
      </c>
      <c r="S24">
        <v>186000</v>
      </c>
    </row>
    <row r="25" spans="1:19" x14ac:dyDescent="0.45">
      <c r="A25" t="str">
        <v>ORD-100001</v>
      </c>
      <c r="B25">
        <v>46024</v>
      </c>
      <c r="C25" t="str">
        <v>North</v>
      </c>
      <c r="D25" t="str">
        <v>Rahul</v>
      </c>
      <c r="E25" t="str">
        <v>Electronics</v>
      </c>
      <c r="F25" t="str">
        <v>Laptop</v>
      </c>
      <c r="G25">
        <v>7</v>
      </c>
      <c r="H25">
        <v>62000</v>
      </c>
      <c r="I25">
        <v>434000</v>
      </c>
      <c r="K25" t="str">
        <v>ORD-100002</v>
      </c>
      <c r="L25">
        <v>46025</v>
      </c>
      <c r="M25" t="str">
        <v>South</v>
      </c>
      <c r="N25" t="str">
        <v>Priya</v>
      </c>
      <c r="O25" t="str">
        <v>Electronics</v>
      </c>
      <c r="P25" t="str">
        <v>Monitor</v>
      </c>
      <c r="Q25">
        <v>10</v>
      </c>
      <c r="R25">
        <v>14000</v>
      </c>
      <c r="S25">
        <v>140000</v>
      </c>
    </row>
    <row r="26" spans="1:19" x14ac:dyDescent="0.45">
      <c r="A26" t="str">
        <v>ORD-100002</v>
      </c>
      <c r="B26">
        <v>46025</v>
      </c>
      <c r="C26" t="str">
        <v>South</v>
      </c>
      <c r="D26" t="str">
        <v>Priya</v>
      </c>
      <c r="E26" t="str">
        <v>Electronics</v>
      </c>
      <c r="F26" t="str">
        <v>Monitor</v>
      </c>
      <c r="G26">
        <v>10</v>
      </c>
      <c r="H26">
        <v>14000</v>
      </c>
      <c r="I26">
        <v>140000</v>
      </c>
      <c r="K26" t="str">
        <v>ORD-100008</v>
      </c>
      <c r="L26">
        <v>46031</v>
      </c>
      <c r="M26" t="str">
        <v>West</v>
      </c>
      <c r="N26" t="str">
        <v>Priya</v>
      </c>
      <c r="O26" t="str">
        <v>Electronics</v>
      </c>
      <c r="P26" t="str">
        <v>Monitor</v>
      </c>
      <c r="Q26">
        <v>8</v>
      </c>
      <c r="R26">
        <v>14000</v>
      </c>
      <c r="S26">
        <v>112000</v>
      </c>
    </row>
    <row r="27" spans="1:19" x14ac:dyDescent="0.45">
      <c r="A27" t="str">
        <v>ORD-100007</v>
      </c>
      <c r="B27">
        <v>46030</v>
      </c>
      <c r="C27" t="str">
        <v>East</v>
      </c>
      <c r="D27" t="str">
        <v>Rahul</v>
      </c>
      <c r="E27" t="str">
        <v>Electronics</v>
      </c>
      <c r="F27" t="str">
        <v>Laptop</v>
      </c>
      <c r="G27">
        <v>5</v>
      </c>
      <c r="H27">
        <v>62000</v>
      </c>
      <c r="I27">
        <v>310000</v>
      </c>
      <c r="K27" t="str">
        <v>ORD-100014</v>
      </c>
      <c r="L27">
        <v>46037</v>
      </c>
      <c r="M27" t="str">
        <v>South</v>
      </c>
      <c r="N27" t="str">
        <v>Priya</v>
      </c>
      <c r="O27" t="str">
        <v>Electronics</v>
      </c>
      <c r="P27" t="str">
        <v>Monitor</v>
      </c>
      <c r="Q27">
        <v>6</v>
      </c>
      <c r="R27">
        <v>14000</v>
      </c>
      <c r="S27">
        <v>84000</v>
      </c>
    </row>
    <row r="28" spans="1:19" x14ac:dyDescent="0.45">
      <c r="A28" t="str">
        <v>ORD-100008</v>
      </c>
      <c r="B28">
        <v>46031</v>
      </c>
      <c r="C28" t="str">
        <v>West</v>
      </c>
      <c r="D28" t="str">
        <v>Priya</v>
      </c>
      <c r="E28" t="str">
        <v>Electronics</v>
      </c>
      <c r="F28" t="str">
        <v>Monitor</v>
      </c>
      <c r="G28">
        <v>8</v>
      </c>
      <c r="H28">
        <v>14000</v>
      </c>
      <c r="I28">
        <v>112000</v>
      </c>
      <c r="K28" t="str">
        <v>ORD-100012</v>
      </c>
      <c r="L28">
        <v>46035</v>
      </c>
      <c r="M28" t="str">
        <v>West</v>
      </c>
      <c r="N28" t="str">
        <v>Neha</v>
      </c>
      <c r="O28" t="str">
        <v>Networking</v>
      </c>
      <c r="P28" t="str">
        <v>Router</v>
      </c>
      <c r="Q28">
        <v>10</v>
      </c>
      <c r="R28">
        <v>3200</v>
      </c>
      <c r="S28">
        <v>32000</v>
      </c>
    </row>
    <row r="29" spans="1:19" x14ac:dyDescent="0.45">
      <c r="A29" t="str">
        <v>ORD-100013</v>
      </c>
      <c r="B29">
        <v>46036</v>
      </c>
      <c r="C29" t="str">
        <v>North</v>
      </c>
      <c r="D29" t="str">
        <v>Rahul</v>
      </c>
      <c r="E29" t="str">
        <v>Electronics</v>
      </c>
      <c r="F29" t="str">
        <v>Laptop</v>
      </c>
      <c r="G29">
        <v>3</v>
      </c>
      <c r="H29">
        <v>62000</v>
      </c>
      <c r="I29">
        <v>186000</v>
      </c>
      <c r="K29" t="str">
        <v>ORD-100003</v>
      </c>
      <c r="L29">
        <v>46026</v>
      </c>
      <c r="M29" t="str">
        <v>East</v>
      </c>
      <c r="N29" t="str">
        <v>Amit</v>
      </c>
      <c r="O29" t="str">
        <v>Furniture</v>
      </c>
      <c r="P29" t="str">
        <v>Office Chair</v>
      </c>
      <c r="Q29">
        <v>3</v>
      </c>
      <c r="R29">
        <v>8500</v>
      </c>
      <c r="S29">
        <v>25500</v>
      </c>
    </row>
    <row r="30" spans="1:19" x14ac:dyDescent="0.45">
      <c r="A30" t="str">
        <v>ORD-100014</v>
      </c>
      <c r="B30">
        <v>46037</v>
      </c>
      <c r="C30" t="str">
        <v>South</v>
      </c>
      <c r="D30" t="str">
        <v>Priya</v>
      </c>
      <c r="E30" t="str">
        <v>Electronics</v>
      </c>
      <c r="F30" t="str">
        <v>Monitor</v>
      </c>
      <c r="G30">
        <v>6</v>
      </c>
      <c r="H30">
        <v>14000</v>
      </c>
      <c r="I30">
        <v>84000</v>
      </c>
      <c r="K30" t="str">
        <v>ORD-100009</v>
      </c>
      <c r="L30">
        <v>46032</v>
      </c>
      <c r="M30" t="str">
        <v>North</v>
      </c>
      <c r="N30" t="str">
        <v>Amit</v>
      </c>
      <c r="O30" t="str">
        <v>Furniture</v>
      </c>
      <c r="P30" t="str">
        <v>Office Chair</v>
      </c>
      <c r="Q30">
        <v>1</v>
      </c>
      <c r="R30">
        <v>8500</v>
      </c>
      <c r="S30">
        <v>8500</v>
      </c>
    </row>
    <row r="31" spans="1:19" x14ac:dyDescent="0.45">
      <c r="A31" t="str">
        <v>ORD-100003</v>
      </c>
      <c r="B31">
        <v>46026</v>
      </c>
      <c r="C31" t="str">
        <v>East</v>
      </c>
      <c r="D31" t="str">
        <v>Amit</v>
      </c>
      <c r="E31" t="str">
        <v>Furniture</v>
      </c>
      <c r="F31" t="str">
        <v>Office Chair</v>
      </c>
      <c r="G31">
        <v>3</v>
      </c>
      <c r="H31">
        <v>8500</v>
      </c>
      <c r="I31">
        <v>25500</v>
      </c>
      <c r="K31" t="str">
        <v>ORD-100005</v>
      </c>
      <c r="L31">
        <v>46028</v>
      </c>
      <c r="M31" t="str">
        <v>North</v>
      </c>
      <c r="N31" t="str">
        <v>Karan</v>
      </c>
      <c r="O31" t="str">
        <v>Accessories</v>
      </c>
      <c r="P31" t="str">
        <v>Mouse</v>
      </c>
      <c r="Q31">
        <v>9</v>
      </c>
      <c r="R31">
        <v>900</v>
      </c>
      <c r="S31">
        <v>8100</v>
      </c>
    </row>
    <row r="32" spans="1:19" x14ac:dyDescent="0.45">
      <c r="A32" t="str">
        <v>ORD-100009</v>
      </c>
      <c r="B32">
        <v>46032</v>
      </c>
      <c r="C32" t="str">
        <v>North</v>
      </c>
      <c r="D32" t="str">
        <v>Amit</v>
      </c>
      <c r="E32" t="str">
        <v>Furniture</v>
      </c>
      <c r="F32" t="str">
        <v>Office Chair</v>
      </c>
      <c r="G32">
        <v>1</v>
      </c>
      <c r="H32">
        <v>8500</v>
      </c>
      <c r="I32">
        <v>8500</v>
      </c>
      <c r="K32" t="str">
        <v>ORD-100004</v>
      </c>
      <c r="L32">
        <v>46027</v>
      </c>
      <c r="M32" t="str">
        <v>West</v>
      </c>
      <c r="N32" t="str">
        <v>Sneha</v>
      </c>
      <c r="O32" t="str">
        <v>Accessories</v>
      </c>
      <c r="P32" t="str">
        <v>Keyboard</v>
      </c>
      <c r="Q32">
        <v>6</v>
      </c>
      <c r="R32">
        <v>1200</v>
      </c>
      <c r="S32">
        <v>7200</v>
      </c>
    </row>
    <row r="33" spans="1:19" x14ac:dyDescent="0.45">
      <c r="A33" t="str">
        <v>ORD-100006</v>
      </c>
      <c r="B33">
        <v>46029</v>
      </c>
      <c r="C33" t="str">
        <v>South</v>
      </c>
      <c r="D33" t="str">
        <v>Neha</v>
      </c>
      <c r="E33" t="str">
        <v>Networking</v>
      </c>
      <c r="F33" t="str">
        <v>Router</v>
      </c>
      <c r="G33">
        <v>2</v>
      </c>
      <c r="H33">
        <v>3200</v>
      </c>
      <c r="I33">
        <v>6400</v>
      </c>
      <c r="K33" t="str">
        <v>ORD-100006</v>
      </c>
      <c r="L33">
        <v>46029</v>
      </c>
      <c r="M33" t="str">
        <v>South</v>
      </c>
      <c r="N33" t="str">
        <v>Neha</v>
      </c>
      <c r="O33" t="str">
        <v>Networking</v>
      </c>
      <c r="P33" t="str">
        <v>Router</v>
      </c>
      <c r="Q33">
        <v>2</v>
      </c>
      <c r="R33">
        <v>3200</v>
      </c>
      <c r="S33">
        <v>6400</v>
      </c>
    </row>
    <row r="34" spans="1:19" x14ac:dyDescent="0.45">
      <c r="A34" t="str">
        <v>ORD-100012</v>
      </c>
      <c r="B34">
        <v>46035</v>
      </c>
      <c r="C34" t="str">
        <v>West</v>
      </c>
      <c r="D34" t="str">
        <v>Neha</v>
      </c>
      <c r="E34" t="str">
        <v>Networking</v>
      </c>
      <c r="F34" t="str">
        <v>Router</v>
      </c>
      <c r="G34">
        <v>10</v>
      </c>
      <c r="H34">
        <v>3200</v>
      </c>
      <c r="I34">
        <v>32000</v>
      </c>
      <c r="K34" t="str">
        <v>ORD-100011</v>
      </c>
      <c r="L34">
        <v>46034</v>
      </c>
      <c r="M34" t="str">
        <v>East</v>
      </c>
      <c r="N34" t="str">
        <v>Karan</v>
      </c>
      <c r="O34" t="str">
        <v>Accessories</v>
      </c>
      <c r="P34" t="str">
        <v>Mouse</v>
      </c>
      <c r="Q34">
        <v>7</v>
      </c>
      <c r="R34">
        <v>900</v>
      </c>
      <c r="S34">
        <v>6300</v>
      </c>
    </row>
    <row r="35" spans="1:19" x14ac:dyDescent="0.45">
      <c r="K35" t="str">
        <v>ORD-100010</v>
      </c>
      <c r="L35">
        <v>46033</v>
      </c>
      <c r="M35" t="str">
        <v>South</v>
      </c>
      <c r="N35" t="str">
        <v>Sneha</v>
      </c>
      <c r="O35" t="str">
        <v>Accessories</v>
      </c>
      <c r="P35" t="str">
        <v>Keyboard</v>
      </c>
      <c r="Q35">
        <v>4</v>
      </c>
      <c r="R35">
        <v>1200</v>
      </c>
      <c r="S35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Filter</vt:lpstr>
      <vt:lpstr>Combine_Dynamic Funcitons</vt:lpstr>
      <vt:lpstr>UNIQUE</vt:lpstr>
      <vt:lpstr>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YADAV</cp:lastModifiedBy>
  <dcterms:created xsi:type="dcterms:W3CDTF">2026-07-19T15:33:15Z</dcterms:created>
  <dcterms:modified xsi:type="dcterms:W3CDTF">2026-07-20T17:12:55Z</dcterms:modified>
</cp:coreProperties>
</file>