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iva\Desktop\lectures\"/>
    </mc:Choice>
  </mc:AlternateContent>
  <xr:revisionPtr revIDLastSave="0" documentId="13_ncr:1_{07BF198D-0FC6-4A3E-AA1A-F53249B223DC}" xr6:coauthVersionLast="47" xr6:coauthVersionMax="47" xr10:uidLastSave="{00000000-0000-0000-0000-000000000000}"/>
  <bookViews>
    <workbookView xWindow="34452" yWindow="-108" windowWidth="23256" windowHeight="13176" activeTab="2" xr2:uid="{00000000-000D-0000-FFFF-FFFF00000000}"/>
  </bookViews>
  <sheets>
    <sheet name="Data Cleaning" sheetId="1" r:id="rId1"/>
    <sheet name="Backup_Data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 a="1"/>
  <c r="L16" i="1" s="1"/>
  <c r="M6" i="1"/>
  <c r="M5" i="1"/>
  <c r="M4" i="1"/>
  <c r="M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<sst xmlns="http://schemas.openxmlformats.org/spreadsheetml/2006/main" count="1307" uniqueCount="208">
  <si>
    <t>Customer ID</t>
  </si>
  <si>
    <t>Customer Name</t>
  </si>
  <si>
    <t>Email</t>
  </si>
  <si>
    <t>Phone</t>
  </si>
  <si>
    <t>City</t>
  </si>
  <si>
    <t>Product</t>
  </si>
  <si>
    <t>Order Date</t>
  </si>
  <si>
    <t>Revenue</t>
  </si>
  <si>
    <t>Status</t>
  </si>
  <si>
    <t>Remarks</t>
  </si>
  <si>
    <t>CUST-1002</t>
  </si>
  <si>
    <t>PRIYA GUPTA</t>
  </si>
  <si>
    <t>amit@yahoo.com</t>
  </si>
  <si>
    <t>BENGALURU</t>
  </si>
  <si>
    <t>Office Chair</t>
  </si>
  <si>
    <t>NA</t>
  </si>
  <si>
    <t>CUST-1003</t>
  </si>
  <si>
    <t>98765 43210</t>
  </si>
  <si>
    <t>Cancelled</t>
  </si>
  <si>
    <t>CUST-1004</t>
  </si>
  <si>
    <t>rahul@gmail.com</t>
  </si>
  <si>
    <t>CUST-1005</t>
  </si>
  <si>
    <t>Mouse</t>
  </si>
  <si>
    <t>PENDING</t>
  </si>
  <si>
    <t>CUST-1006</t>
  </si>
  <si>
    <t>Router</t>
  </si>
  <si>
    <t>Follow Up</t>
  </si>
  <si>
    <t>CUST-1007</t>
  </si>
  <si>
    <t>neha singh</t>
  </si>
  <si>
    <t>98-76543210</t>
  </si>
  <si>
    <t>mumbai</t>
  </si>
  <si>
    <t>CUST-1008</t>
  </si>
  <si>
    <t>CUST-1009</t>
  </si>
  <si>
    <t>March 5 2026</t>
  </si>
  <si>
    <t>Completed</t>
  </si>
  <si>
    <t>CUST-1010</t>
  </si>
  <si>
    <t>rahul sharma</t>
  </si>
  <si>
    <t>CUST-1011</t>
  </si>
  <si>
    <t>invalidmail</t>
  </si>
  <si>
    <t>Lucknow</t>
  </si>
  <si>
    <t>CUST-1012</t>
  </si>
  <si>
    <t>COMPLETED</t>
  </si>
  <si>
    <t>CUST-1013</t>
  </si>
  <si>
    <t>neha@gmail.com</t>
  </si>
  <si>
    <t>N/A</t>
  </si>
  <si>
    <t>CUST-1014</t>
  </si>
  <si>
    <t>pending</t>
  </si>
  <si>
    <t>ROHIT KUMAR</t>
  </si>
  <si>
    <t>CUST-1016</t>
  </si>
  <si>
    <t>CUST-1017</t>
  </si>
  <si>
    <t>CUST-1018</t>
  </si>
  <si>
    <t>CUST-1019</t>
  </si>
  <si>
    <t>CUST-1020</t>
  </si>
  <si>
    <t>CUST-1021</t>
  </si>
  <si>
    <t>CUST-1022</t>
  </si>
  <si>
    <t>CUST-1023</t>
  </si>
  <si>
    <t>CUST-1024</t>
  </si>
  <si>
    <t>CUST-1025</t>
  </si>
  <si>
    <t>CUST-1026</t>
  </si>
  <si>
    <t>CUST-1027</t>
  </si>
  <si>
    <t>CUST-1028</t>
  </si>
  <si>
    <t>CUST-1029</t>
  </si>
  <si>
    <t>CUST-1031</t>
  </si>
  <si>
    <t>CUST-1032</t>
  </si>
  <si>
    <t>CUST-1033</t>
  </si>
  <si>
    <t>CUST-1034</t>
  </si>
  <si>
    <t>CUST-1035</t>
  </si>
  <si>
    <t>CUST-1036</t>
  </si>
  <si>
    <t>CUST-1037</t>
  </si>
  <si>
    <t>CUST-1038</t>
  </si>
  <si>
    <t>CUST-1039</t>
  </si>
  <si>
    <t>CUST-1040</t>
  </si>
  <si>
    <t>CUST-1041</t>
  </si>
  <si>
    <t>CUST-1042</t>
  </si>
  <si>
    <t>CUST-1043</t>
  </si>
  <si>
    <t>CUST-1044</t>
  </si>
  <si>
    <t>CUST-1046</t>
  </si>
  <si>
    <t>CUST-1047</t>
  </si>
  <si>
    <t>CUST-1048</t>
  </si>
  <si>
    <t>CUST-1049</t>
  </si>
  <si>
    <t>CUST-1050</t>
  </si>
  <si>
    <t>CUST-1051</t>
  </si>
  <si>
    <t>CUST-1052</t>
  </si>
  <si>
    <t>CUST-1053</t>
  </si>
  <si>
    <t>CUST-1054</t>
  </si>
  <si>
    <t>CUST-1055</t>
  </si>
  <si>
    <t>CUST-1056</t>
  </si>
  <si>
    <t>CUST-1057</t>
  </si>
  <si>
    <t>CUST-1058</t>
  </si>
  <si>
    <t>CUST-1059</t>
  </si>
  <si>
    <t>CUST-1061</t>
  </si>
  <si>
    <t>CUST-1062</t>
  </si>
  <si>
    <t>CUST-1063</t>
  </si>
  <si>
    <t>CUST-1064</t>
  </si>
  <si>
    <t>CUST-1065</t>
  </si>
  <si>
    <t>CUST-1066</t>
  </si>
  <si>
    <t>CUST-1067</t>
  </si>
  <si>
    <t>CUST-1068</t>
  </si>
  <si>
    <t>CUST-1069</t>
  </si>
  <si>
    <t>CUST-1070</t>
  </si>
  <si>
    <t>CUST-1071</t>
  </si>
  <si>
    <t>CUST-1072</t>
  </si>
  <si>
    <t>CUST-1073</t>
  </si>
  <si>
    <t>CUST-1074</t>
  </si>
  <si>
    <t>CUST-1076</t>
  </si>
  <si>
    <t>CUST-1077</t>
  </si>
  <si>
    <t>CUST-1078</t>
  </si>
  <si>
    <t>CUST-1079</t>
  </si>
  <si>
    <t>CUST-1080</t>
  </si>
  <si>
    <t>CUST-1081</t>
  </si>
  <si>
    <t>CUST-1082</t>
  </si>
  <si>
    <t>CUST-1083</t>
  </si>
  <si>
    <t>CUST-1084</t>
  </si>
  <si>
    <t>CUST-1085</t>
  </si>
  <si>
    <t>CUST-1086</t>
  </si>
  <si>
    <t>CUST-1087</t>
  </si>
  <si>
    <t>CUST-1088</t>
  </si>
  <si>
    <t>CUST-1089</t>
  </si>
  <si>
    <t>CUST-1091</t>
  </si>
  <si>
    <t>CUST-1092</t>
  </si>
  <si>
    <t>CUST-1093</t>
  </si>
  <si>
    <t>CUST-1094</t>
  </si>
  <si>
    <t>CUST-1095</t>
  </si>
  <si>
    <t>CUST-1096</t>
  </si>
  <si>
    <t>CUST-1097</t>
  </si>
  <si>
    <t>CUST-1098</t>
  </si>
  <si>
    <t>CUST-1099</t>
  </si>
  <si>
    <t>CUST-1100</t>
  </si>
  <si>
    <t>CUST-1101</t>
  </si>
  <si>
    <t>DATA CLEANING</t>
  </si>
  <si>
    <t>To become a data/business Analyst the most important skill is your data cleaning skill</t>
  </si>
  <si>
    <t>reality of data analyst or business analyst</t>
  </si>
  <si>
    <t>Almost 70-80% of the DA/BA time goes in cleaning the data. So if you master this you became a strong analyst</t>
  </si>
  <si>
    <t>AI --&gt; replacing humans</t>
  </si>
  <si>
    <t>myth</t>
  </si>
  <si>
    <t>1. when you try to generate a image you mention everything you want but most of the time it fails</t>
  </si>
  <si>
    <t>To evaluate the efficiency we need humans to train AI and evaluate their responses</t>
  </si>
  <si>
    <t>AI data Analyst</t>
  </si>
  <si>
    <t>2. Coding--&gt;web development,app development,</t>
  </si>
  <si>
    <t>1. UNDERSTANDING DIRTY DATA</t>
  </si>
  <si>
    <t>1.  Names in upper cases or lower cases/mixed</t>
  </si>
  <si>
    <t>2. Emails should be always in lowercase.</t>
  </si>
  <si>
    <t>3. portfolioi liniks should be in lowercase.</t>
  </si>
  <si>
    <t>4. Phone numbers with spaces/hyphens.</t>
  </si>
  <si>
    <t>5. Revenue/quantity/date stored in text.</t>
  </si>
  <si>
    <t>6. Dates in differents formats--&gt; 1/5/24,05-01-2024,24th May 2024,2024-05-01</t>
  </si>
  <si>
    <t>7. Status is inconsistent--&gt; Completed, completed, COMPLETED</t>
  </si>
  <si>
    <t>8. Missing values--&gt; Phone number,email,City, Region</t>
  </si>
  <si>
    <t>9. Invalid mails--&gt; abc.gmail.com,abc@gmail.con</t>
  </si>
  <si>
    <t>Cleaning Process</t>
  </si>
  <si>
    <t>1. TRIM Function:</t>
  </si>
  <si>
    <t>It removes unncessary space between two words</t>
  </si>
  <si>
    <t>Syntax: =TRIM(cell)</t>
  </si>
  <si>
    <t>2. UPPER/LOWER/PROPER</t>
  </si>
  <si>
    <t>These functions are used to make the text in a standard format</t>
  </si>
  <si>
    <t>UPPER--&gt; Converts whole text into upper case</t>
  </si>
  <si>
    <t>LOWER--&gt; Converts whole text into lower case</t>
  </si>
  <si>
    <t>PROPER--&gt; Converts the words in proper case(First letter of each word will be capitalized)</t>
  </si>
  <si>
    <t>Priya Gupta</t>
  </si>
  <si>
    <t>Amit Verma</t>
  </si>
  <si>
    <t>Neha Singh</t>
  </si>
  <si>
    <t>Rahul Sharma</t>
  </si>
  <si>
    <t>Rohit Kumar</t>
  </si>
  <si>
    <t>priya@gmail.com</t>
  </si>
  <si>
    <t>No Phone</t>
  </si>
  <si>
    <t>Bengaluru</t>
  </si>
  <si>
    <t>Delhi</t>
  </si>
  <si>
    <t>Hyderabad</t>
  </si>
  <si>
    <t>Mumbai</t>
  </si>
  <si>
    <t>Pune</t>
  </si>
  <si>
    <t>Monitor</t>
  </si>
  <si>
    <t>Keyboard</t>
  </si>
  <si>
    <t>Laptop</t>
  </si>
  <si>
    <t>Pending</t>
  </si>
  <si>
    <t>Na</t>
  </si>
  <si>
    <t>Delayed</t>
  </si>
  <si>
    <t>Urgent</t>
  </si>
  <si>
    <t>High Value</t>
  </si>
  <si>
    <t>completed</t>
  </si>
  <si>
    <t>PRIYA@GMAIL.COM</t>
  </si>
  <si>
    <t>delayed</t>
  </si>
  <si>
    <t>urgent</t>
  </si>
  <si>
    <t>pune</t>
  </si>
  <si>
    <t>MEAN,MEDIAN,MODE</t>
  </si>
  <si>
    <t>34,35</t>
  </si>
  <si>
    <t xml:space="preserve">What do we use if there is any Revenue,Sales,Cost Price,Selling Price </t>
  </si>
  <si>
    <t>so what should we fill in empty or NuLL values?</t>
  </si>
  <si>
    <t>Imp:</t>
  </si>
  <si>
    <t>The revenue, sales and other KPI's may be affected by outliers(extrem values big or small)</t>
  </si>
  <si>
    <t>So we use MEDIAN because it first sorts the data then finds the middle term from it and returns the value which is not affected with the outliers</t>
  </si>
  <si>
    <t>We will use MEAN or Average if the data or numbers are consistent.</t>
  </si>
  <si>
    <t>Mode: When our data or revenue deals on selected product prices the repetitive prices then we prefer MODE</t>
  </si>
  <si>
    <t>[=IF(H2="",78000,H2)</t>
  </si>
  <si>
    <t>Agar H2 ke place pr blank mile "" to 78000 kar dena varna jo mile vhi de dena</t>
  </si>
  <si>
    <t>Unknown</t>
  </si>
  <si>
    <t>No Email</t>
  </si>
  <si>
    <t>We have covered</t>
  </si>
  <si>
    <t>Aggregate Function</t>
  </si>
  <si>
    <t>Logical functions</t>
  </si>
  <si>
    <t>Conditional Aggregate Functions</t>
  </si>
  <si>
    <t>Text Functions</t>
  </si>
  <si>
    <t>Data&amp; Time Functions</t>
  </si>
  <si>
    <t>Dynamic Array Functions</t>
  </si>
  <si>
    <t>Lookup Functions</t>
  </si>
  <si>
    <t>INDEX+MATCH</t>
  </si>
  <si>
    <t>DATA cleaning function</t>
  </si>
  <si>
    <t>Combined questions by 22/07/2026</t>
  </si>
  <si>
    <t>GitHub+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</si>
</sst>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_ &quot;₹&quot;\ * #,##0_ ;_ &quot;₹&quot;\ * \-#,##0_ ;_ &quot;₹&quot;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vertical="center"/>
    </xf>
    <xf numFmtId="3" fontId="0" fillId="0" borderId="0" xfId="0" applyNumberFormat="1"/>
    <xf numFmtId="14" fontId="0" fillId="0" borderId="0" xfId="0" applyNumberFormat="1" applyAlignment="1">
      <alignment vertical="center"/>
    </xf>
    <xf numFmtId="0" fontId="2" fillId="0" borderId="0" xfId="0" applyFont="1" applyAlignment="1"/>
    <xf numFmtId="14" fontId="0" fillId="0" borderId="0" xfId="0" applyNumberFormat="1" applyAlignment="1"/>
    <xf numFmtId="3" fontId="0" fillId="0" borderId="0" xfId="0" applyNumberFormat="1" applyAlignment="1"/>
    <xf numFmtId="0" fontId="0" fillId="0" borderId="0" xfId="0" applyFont="1"/>
    <xf numFmtId="173" fontId="0" fillId="0" borderId="0" xfId="0" applyNumberFormat="1"/>
  </cellXfs>
  <cellStyles count="1">
    <cellStyle name="Normal" xfId="0" builtinId="0"/>
  </cellStyles>
  <dxfs count="5">
    <dxf>
      <numFmt numFmtId="173" formatCode="_ &quot;₹&quot;\ * #,##0_ ;_ &quot;₹&quot;\ * \-#,##0_ ;_ &quot;₹&quot;\ * &quot;-&quot;??_ ;_ @_ 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970BA8-D177-4F81-BD5E-B0C51B4047F5}" name="Table1" displayName="Table1" ref="A1:J69" totalsRowShown="0" headerRowDxfId="2">
  <autoFilter ref="A1:J69" xr:uid="{8F970BA8-D177-4F81-BD5E-B0C51B4047F5}"/>
  <tableColumns count="10">
    <tableColumn id="1" xr3:uid="{DABBF162-F082-49B4-88B6-1C806DE65FE7}" name="Customer ID"/>
    <tableColumn id="2" xr3:uid="{D8C64A7D-D8B7-4BF4-905F-014CCD73F863}" name="Customer Name"/>
    <tableColumn id="3" xr3:uid="{A5BD1477-7A01-4E30-A3CE-913ED476CFB2}" name="Email"/>
    <tableColumn id="4" xr3:uid="{C99ED835-55AE-4FD6-A0C5-973FA606A442}" name="Phone" dataDxfId="4"/>
    <tableColumn id="5" xr3:uid="{78CFA569-1061-4734-9131-D543585AEB8A}" name="City" dataDxfId="3"/>
    <tableColumn id="6" xr3:uid="{58888E8B-7464-437D-8ACD-B54454650B0F}" name="Product"/>
    <tableColumn id="7" xr3:uid="{75CB8196-DBDA-4699-9D09-DE3A80912010}" name="Order Date" dataDxfId="1"/>
    <tableColumn id="8" xr3:uid="{FAF13662-F962-4F0F-B8F8-0B6330C1537F}" name="Revenue" dataDxfId="0"/>
    <tableColumn id="9" xr3:uid="{DBB0A4DD-7520-4EC2-B0E6-4EA44224F096}" name="Status"/>
    <tableColumn id="10" xr3:uid="{ED8E141E-837B-4DF5-A0D5-1D400B143B32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"/>
  <sheetViews>
    <sheetView topLeftCell="A19" zoomScale="145" zoomScaleNormal="145" workbookViewId="0">
      <selection activeCell="B7" sqref="B7"/>
    </sheetView>
  </sheetViews>
  <sheetFormatPr defaultRowHeight="14.25" x14ac:dyDescent="0.45"/>
  <cols>
    <col min="1" max="1" width="12.06640625" customWidth="1"/>
    <col min="2" max="2" width="15.265625" customWidth="1"/>
    <col min="3" max="3" width="15.19921875" customWidth="1"/>
    <col min="4" max="5" width="16.265625" style="4" customWidth="1"/>
    <col min="6" max="6" width="10.73046875" customWidth="1"/>
    <col min="7" max="7" width="11.73046875" customWidth="1"/>
    <col min="8" max="8" width="13" bestFit="1" customWidth="1"/>
    <col min="9" max="9" width="9.53125" bestFit="1" customWidth="1"/>
    <col min="10" max="11" width="9.53125" customWidth="1"/>
    <col min="12" max="12" width="16.796875" bestFit="1" customWidth="1"/>
    <col min="13" max="13" width="10.19921875" bestFit="1" customWidth="1"/>
  </cols>
  <sheetData>
    <row r="1" spans="1:21" x14ac:dyDescent="0.4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21" x14ac:dyDescent="0.45">
      <c r="A2" t="s">
        <v>10</v>
      </c>
      <c r="B2" t="s">
        <v>158</v>
      </c>
      <c r="C2" t="s">
        <v>12</v>
      </c>
      <c r="D2" s="4">
        <v>9876543210</v>
      </c>
      <c r="E2" s="4" t="s">
        <v>165</v>
      </c>
      <c r="F2" t="s">
        <v>14</v>
      </c>
      <c r="G2" s="7">
        <v>46058</v>
      </c>
      <c r="H2" s="15">
        <v>25000</v>
      </c>
      <c r="I2" t="s">
        <v>34</v>
      </c>
      <c r="J2" t="s">
        <v>174</v>
      </c>
      <c r="M2">
        <v>68</v>
      </c>
      <c r="N2" t="s">
        <v>184</v>
      </c>
    </row>
    <row r="3" spans="1:21" x14ac:dyDescent="0.45">
      <c r="A3" t="s">
        <v>19</v>
      </c>
      <c r="B3" t="s">
        <v>158</v>
      </c>
      <c r="C3" t="s">
        <v>20</v>
      </c>
      <c r="D3" s="4" t="s">
        <v>164</v>
      </c>
      <c r="E3" s="4" t="s">
        <v>167</v>
      </c>
      <c r="F3" t="s">
        <v>170</v>
      </c>
      <c r="G3" s="7">
        <v>46096</v>
      </c>
      <c r="H3" s="15">
        <v>125000</v>
      </c>
      <c r="I3" t="s">
        <v>18</v>
      </c>
      <c r="J3" t="s">
        <v>176</v>
      </c>
      <c r="M3" t="s">
        <v>183</v>
      </c>
    </row>
    <row r="4" spans="1:21" x14ac:dyDescent="0.45">
      <c r="A4" t="s">
        <v>21</v>
      </c>
      <c r="B4" t="s">
        <v>158</v>
      </c>
      <c r="C4" t="s">
        <v>163</v>
      </c>
      <c r="D4" s="4">
        <v>9876543210</v>
      </c>
      <c r="E4" s="4" t="s">
        <v>166</v>
      </c>
      <c r="F4" t="s">
        <v>22</v>
      </c>
      <c r="G4" s="7">
        <v>46096</v>
      </c>
      <c r="H4" s="15">
        <v>125000</v>
      </c>
      <c r="I4" t="s">
        <v>173</v>
      </c>
      <c r="J4" t="s">
        <v>177</v>
      </c>
      <c r="M4" s="6" t="e">
        <f>AVERAGE(#REF!)</f>
        <v>#REF!</v>
      </c>
    </row>
    <row r="5" spans="1:21" x14ac:dyDescent="0.45">
      <c r="A5" t="s">
        <v>27</v>
      </c>
      <c r="B5" t="s">
        <v>160</v>
      </c>
      <c r="C5" t="s">
        <v>20</v>
      </c>
      <c r="D5" s="4">
        <v>9876543210</v>
      </c>
      <c r="E5" s="4" t="s">
        <v>168</v>
      </c>
      <c r="F5" t="s">
        <v>25</v>
      </c>
      <c r="G5" s="7">
        <v>46058</v>
      </c>
      <c r="H5" s="15">
        <v>78000</v>
      </c>
      <c r="I5" t="s">
        <v>18</v>
      </c>
      <c r="J5" t="s">
        <v>175</v>
      </c>
      <c r="M5" t="e">
        <f>MEDIAN(#REF!)</f>
        <v>#REF!</v>
      </c>
    </row>
    <row r="6" spans="1:21" x14ac:dyDescent="0.45">
      <c r="A6" t="s">
        <v>31</v>
      </c>
      <c r="B6" t="s">
        <v>160</v>
      </c>
      <c r="C6" t="s">
        <v>163</v>
      </c>
      <c r="D6" s="4">
        <v>9876543210</v>
      </c>
      <c r="E6" s="4" t="s">
        <v>166</v>
      </c>
      <c r="F6" t="s">
        <v>25</v>
      </c>
      <c r="G6" s="7">
        <v>46096</v>
      </c>
      <c r="H6" s="15">
        <v>45000</v>
      </c>
      <c r="I6" t="s">
        <v>34</v>
      </c>
      <c r="J6" t="s">
        <v>177</v>
      </c>
      <c r="M6" t="e">
        <f>MODE(#REF!)</f>
        <v>#REF!</v>
      </c>
    </row>
    <row r="7" spans="1:21" x14ac:dyDescent="0.45">
      <c r="A7" t="s">
        <v>32</v>
      </c>
      <c r="B7" t="s">
        <v>160</v>
      </c>
      <c r="C7" t="s">
        <v>20</v>
      </c>
      <c r="D7" s="4" t="s">
        <v>164</v>
      </c>
      <c r="E7" s="4" t="s">
        <v>165</v>
      </c>
      <c r="F7" t="s">
        <v>171</v>
      </c>
      <c r="G7" s="7">
        <v>46086</v>
      </c>
      <c r="H7" s="15">
        <v>45000</v>
      </c>
      <c r="I7" t="s">
        <v>34</v>
      </c>
      <c r="J7" t="s">
        <v>177</v>
      </c>
    </row>
    <row r="8" spans="1:21" x14ac:dyDescent="0.45">
      <c r="A8" t="s">
        <v>35</v>
      </c>
      <c r="B8" t="s">
        <v>161</v>
      </c>
      <c r="C8" t="s">
        <v>12</v>
      </c>
      <c r="D8" s="4">
        <v>9876543210</v>
      </c>
      <c r="E8" s="4" t="s">
        <v>166</v>
      </c>
      <c r="F8" t="s">
        <v>14</v>
      </c>
      <c r="G8" s="7">
        <v>46054</v>
      </c>
      <c r="H8" s="15">
        <v>125000</v>
      </c>
      <c r="I8" t="s">
        <v>34</v>
      </c>
      <c r="J8" t="s">
        <v>26</v>
      </c>
      <c r="M8" s="2" t="s">
        <v>192</v>
      </c>
    </row>
    <row r="9" spans="1:21" x14ac:dyDescent="0.45">
      <c r="A9" t="s">
        <v>37</v>
      </c>
      <c r="B9" t="s">
        <v>159</v>
      </c>
      <c r="C9" t="s">
        <v>195</v>
      </c>
      <c r="D9" s="4">
        <v>9876543210</v>
      </c>
      <c r="E9" s="4" t="s">
        <v>39</v>
      </c>
      <c r="F9" t="s">
        <v>25</v>
      </c>
      <c r="G9" s="7">
        <v>46058</v>
      </c>
      <c r="H9" s="15">
        <v>45000</v>
      </c>
      <c r="I9" t="s">
        <v>18</v>
      </c>
      <c r="J9" t="s">
        <v>194</v>
      </c>
    </row>
    <row r="10" spans="1:21" x14ac:dyDescent="0.45">
      <c r="A10" t="s">
        <v>42</v>
      </c>
      <c r="B10" t="s">
        <v>160</v>
      </c>
      <c r="C10" t="s">
        <v>43</v>
      </c>
      <c r="D10" s="4">
        <v>9876543210</v>
      </c>
      <c r="E10" s="4" t="s">
        <v>167</v>
      </c>
      <c r="F10" t="s">
        <v>22</v>
      </c>
      <c r="G10" s="7">
        <v>46054</v>
      </c>
      <c r="H10" s="15">
        <v>78000</v>
      </c>
      <c r="I10" t="s">
        <v>173</v>
      </c>
      <c r="J10" t="s">
        <v>177</v>
      </c>
      <c r="L10" t="s">
        <v>193</v>
      </c>
    </row>
    <row r="11" spans="1:21" x14ac:dyDescent="0.45">
      <c r="A11" t="s">
        <v>48</v>
      </c>
      <c r="B11" t="s">
        <v>160</v>
      </c>
      <c r="C11" t="s">
        <v>20</v>
      </c>
      <c r="D11" s="4">
        <v>9123456780</v>
      </c>
      <c r="E11" s="4" t="s">
        <v>166</v>
      </c>
      <c r="F11" t="s">
        <v>172</v>
      </c>
      <c r="G11" s="7">
        <v>46096</v>
      </c>
      <c r="H11" s="15">
        <v>125000</v>
      </c>
      <c r="I11" t="s">
        <v>18</v>
      </c>
      <c r="J11" t="s">
        <v>194</v>
      </c>
    </row>
    <row r="12" spans="1:21" x14ac:dyDescent="0.45">
      <c r="A12" t="s">
        <v>49</v>
      </c>
      <c r="B12" t="s">
        <v>159</v>
      </c>
      <c r="C12" t="s">
        <v>163</v>
      </c>
      <c r="D12" s="4">
        <v>9123456780</v>
      </c>
      <c r="E12" s="4" t="s">
        <v>167</v>
      </c>
      <c r="F12" t="s">
        <v>171</v>
      </c>
      <c r="G12" s="7">
        <v>46058</v>
      </c>
      <c r="H12" s="15">
        <v>78000</v>
      </c>
      <c r="I12" t="s">
        <v>18</v>
      </c>
      <c r="J12" t="s">
        <v>175</v>
      </c>
      <c r="L12" s="9" t="s">
        <v>194</v>
      </c>
    </row>
    <row r="13" spans="1:21" x14ac:dyDescent="0.45">
      <c r="A13" t="s">
        <v>50</v>
      </c>
      <c r="B13" t="s">
        <v>160</v>
      </c>
      <c r="C13" t="s">
        <v>43</v>
      </c>
      <c r="D13" s="4">
        <v>9876543210</v>
      </c>
      <c r="E13" s="4" t="s">
        <v>168</v>
      </c>
      <c r="F13" t="s">
        <v>25</v>
      </c>
      <c r="G13" s="7">
        <v>46096</v>
      </c>
      <c r="H13" s="15">
        <v>78000</v>
      </c>
      <c r="I13" t="s">
        <v>34</v>
      </c>
      <c r="J13" t="s">
        <v>174</v>
      </c>
    </row>
    <row r="14" spans="1:21" x14ac:dyDescent="0.45">
      <c r="A14" t="s">
        <v>51</v>
      </c>
      <c r="B14" t="s">
        <v>161</v>
      </c>
      <c r="C14" t="s">
        <v>20</v>
      </c>
      <c r="D14" s="4">
        <v>9876543210</v>
      </c>
      <c r="E14" s="4" t="s">
        <v>165</v>
      </c>
      <c r="F14" t="s">
        <v>170</v>
      </c>
      <c r="G14" s="7">
        <v>46096</v>
      </c>
      <c r="H14" s="15">
        <v>78000</v>
      </c>
      <c r="I14" t="s">
        <v>173</v>
      </c>
      <c r="J14" t="s">
        <v>175</v>
      </c>
    </row>
    <row r="15" spans="1:21" x14ac:dyDescent="0.45">
      <c r="A15" t="s">
        <v>52</v>
      </c>
      <c r="B15" t="s">
        <v>160</v>
      </c>
      <c r="C15" t="s">
        <v>163</v>
      </c>
      <c r="D15" s="4" t="s">
        <v>164</v>
      </c>
      <c r="E15" s="4" t="s">
        <v>166</v>
      </c>
      <c r="F15" t="s">
        <v>22</v>
      </c>
      <c r="G15" s="7">
        <v>46058</v>
      </c>
      <c r="H15" s="15">
        <v>25000</v>
      </c>
      <c r="I15" t="s">
        <v>18</v>
      </c>
      <c r="J15" t="s">
        <v>174</v>
      </c>
    </row>
    <row r="16" spans="1:21" x14ac:dyDescent="0.45">
      <c r="A16" t="s">
        <v>53</v>
      </c>
      <c r="B16" t="s">
        <v>158</v>
      </c>
      <c r="C16" t="s">
        <v>163</v>
      </c>
      <c r="D16" s="4">
        <v>9123456780</v>
      </c>
      <c r="E16" s="4" t="s">
        <v>168</v>
      </c>
      <c r="F16" t="s">
        <v>170</v>
      </c>
      <c r="G16" s="7">
        <v>46058</v>
      </c>
      <c r="H16" s="15">
        <v>25000</v>
      </c>
      <c r="I16" t="s">
        <v>18</v>
      </c>
      <c r="J16" t="s">
        <v>176</v>
      </c>
      <c r="L16" t="str" cm="1">
        <f t="array" ref="L16:U30">_xlfn._xlws.FILTER(Table1[#All],Table1[[#All],[City]]="Delhi")</f>
        <v>CUST-1005</v>
      </c>
      <c r="M16" t="str">
        <v>Priya Gupta</v>
      </c>
      <c r="N16" t="str">
        <v>priya@gmail.com</v>
      </c>
      <c r="O16">
        <v>9876543210</v>
      </c>
      <c r="P16" t="str">
        <v>Delhi</v>
      </c>
      <c r="Q16" t="str">
        <v>Mouse</v>
      </c>
      <c r="R16">
        <v>46096</v>
      </c>
      <c r="S16">
        <v>125000</v>
      </c>
      <c r="T16" t="str">
        <v>Pending</v>
      </c>
      <c r="U16" t="str">
        <v>High Value</v>
      </c>
    </row>
    <row r="17" spans="1:21" x14ac:dyDescent="0.45">
      <c r="A17" t="s">
        <v>54</v>
      </c>
      <c r="B17" t="s">
        <v>158</v>
      </c>
      <c r="C17" t="s">
        <v>43</v>
      </c>
      <c r="D17" s="4">
        <v>9876543210</v>
      </c>
      <c r="E17" s="4" t="s">
        <v>168</v>
      </c>
      <c r="F17" t="s">
        <v>170</v>
      </c>
      <c r="G17" s="7">
        <v>46086</v>
      </c>
      <c r="H17" s="15">
        <v>78000</v>
      </c>
      <c r="I17" t="s">
        <v>173</v>
      </c>
      <c r="J17" t="s">
        <v>174</v>
      </c>
      <c r="L17" t="str">
        <v>CUST-1008</v>
      </c>
      <c r="M17" t="str">
        <v>Neha Singh</v>
      </c>
      <c r="N17" t="str">
        <v>priya@gmail.com</v>
      </c>
      <c r="O17">
        <v>9876543210</v>
      </c>
      <c r="P17" t="str">
        <v>Delhi</v>
      </c>
      <c r="Q17" t="str">
        <v>Router</v>
      </c>
      <c r="R17">
        <v>46096</v>
      </c>
      <c r="S17">
        <v>45000</v>
      </c>
      <c r="T17" t="str">
        <v>Completed</v>
      </c>
      <c r="U17" t="str">
        <v>High Value</v>
      </c>
    </row>
    <row r="18" spans="1:21" x14ac:dyDescent="0.45">
      <c r="A18" t="s">
        <v>55</v>
      </c>
      <c r="B18" t="s">
        <v>162</v>
      </c>
      <c r="C18" t="s">
        <v>20</v>
      </c>
      <c r="D18" s="4">
        <v>9123456780</v>
      </c>
      <c r="E18" s="4" t="s">
        <v>166</v>
      </c>
      <c r="F18" t="s">
        <v>170</v>
      </c>
      <c r="G18" s="7">
        <v>46096</v>
      </c>
      <c r="H18" s="15">
        <v>78000</v>
      </c>
      <c r="I18" t="s">
        <v>18</v>
      </c>
      <c r="J18" t="s">
        <v>175</v>
      </c>
      <c r="L18" t="str">
        <v>CUST-1010</v>
      </c>
      <c r="M18" t="str">
        <v>Rahul Sharma</v>
      </c>
      <c r="N18" t="str">
        <v>amit@yahoo.com</v>
      </c>
      <c r="O18">
        <v>9876543210</v>
      </c>
      <c r="P18" t="str">
        <v>Delhi</v>
      </c>
      <c r="Q18" t="str">
        <v>Office Chair</v>
      </c>
      <c r="R18">
        <v>46054</v>
      </c>
      <c r="S18">
        <v>125000</v>
      </c>
      <c r="T18" t="str">
        <v>Completed</v>
      </c>
      <c r="U18" t="str">
        <v>Follow Up</v>
      </c>
    </row>
    <row r="19" spans="1:21" x14ac:dyDescent="0.45">
      <c r="A19" t="s">
        <v>56</v>
      </c>
      <c r="B19" t="s">
        <v>159</v>
      </c>
      <c r="C19" t="s">
        <v>12</v>
      </c>
      <c r="D19" s="4" t="s">
        <v>164</v>
      </c>
      <c r="E19" s="4" t="s">
        <v>167</v>
      </c>
      <c r="F19" t="s">
        <v>22</v>
      </c>
      <c r="G19" s="7">
        <v>46058</v>
      </c>
      <c r="H19" s="15">
        <v>78000</v>
      </c>
      <c r="I19" t="s">
        <v>173</v>
      </c>
      <c r="J19" t="s">
        <v>174</v>
      </c>
      <c r="L19" t="str">
        <v>CUST-1016</v>
      </c>
      <c r="M19" t="str">
        <v>Neha Singh</v>
      </c>
      <c r="N19" t="str">
        <v>rahul@gmail.com</v>
      </c>
      <c r="O19">
        <v>9123456780</v>
      </c>
      <c r="P19" t="str">
        <v>Delhi</v>
      </c>
      <c r="Q19" t="str">
        <v>Laptop</v>
      </c>
      <c r="R19">
        <v>46096</v>
      </c>
      <c r="S19">
        <v>125000</v>
      </c>
      <c r="T19" t="str">
        <v>Cancelled</v>
      </c>
      <c r="U19" t="str">
        <v>Unknown</v>
      </c>
    </row>
    <row r="20" spans="1:21" x14ac:dyDescent="0.45">
      <c r="A20" t="s">
        <v>57</v>
      </c>
      <c r="B20" t="s">
        <v>161</v>
      </c>
      <c r="C20" t="s">
        <v>12</v>
      </c>
      <c r="D20" s="4">
        <v>9876543210</v>
      </c>
      <c r="E20" s="4" t="s">
        <v>165</v>
      </c>
      <c r="F20" t="s">
        <v>171</v>
      </c>
      <c r="G20" s="7">
        <v>46058</v>
      </c>
      <c r="H20" s="15">
        <v>78000</v>
      </c>
      <c r="I20" t="s">
        <v>173</v>
      </c>
      <c r="J20" t="s">
        <v>177</v>
      </c>
      <c r="L20" t="str">
        <v>CUST-1020</v>
      </c>
      <c r="M20" t="str">
        <v>Neha Singh</v>
      </c>
      <c r="N20" t="str">
        <v>priya@gmail.com</v>
      </c>
      <c r="O20" t="str">
        <v>No Phone</v>
      </c>
      <c r="P20" t="str">
        <v>Delhi</v>
      </c>
      <c r="Q20" t="str">
        <v>Mouse</v>
      </c>
      <c r="R20">
        <v>46058</v>
      </c>
      <c r="S20">
        <v>25000</v>
      </c>
      <c r="T20" t="str">
        <v>Cancelled</v>
      </c>
      <c r="U20" t="str">
        <v>Na</v>
      </c>
    </row>
    <row r="21" spans="1:21" x14ac:dyDescent="0.45">
      <c r="A21" t="s">
        <v>58</v>
      </c>
      <c r="B21" t="s">
        <v>158</v>
      </c>
      <c r="C21" t="s">
        <v>163</v>
      </c>
      <c r="D21" s="4">
        <v>9876543210</v>
      </c>
      <c r="E21" s="4" t="s">
        <v>168</v>
      </c>
      <c r="F21" t="s">
        <v>170</v>
      </c>
      <c r="G21" s="7">
        <v>46054</v>
      </c>
      <c r="H21" s="15">
        <v>125000</v>
      </c>
      <c r="I21" t="s">
        <v>18</v>
      </c>
      <c r="J21" t="s">
        <v>177</v>
      </c>
      <c r="L21" t="str">
        <v>CUST-1023</v>
      </c>
      <c r="M21" t="str">
        <v>Rohit Kumar</v>
      </c>
      <c r="N21" t="str">
        <v>rahul@gmail.com</v>
      </c>
      <c r="O21">
        <v>9123456780</v>
      </c>
      <c r="P21" t="str">
        <v>Delhi</v>
      </c>
      <c r="Q21" t="str">
        <v>Monitor</v>
      </c>
      <c r="R21">
        <v>46096</v>
      </c>
      <c r="S21">
        <v>78000</v>
      </c>
      <c r="T21" t="str">
        <v>Cancelled</v>
      </c>
      <c r="U21" t="str">
        <v>Delayed</v>
      </c>
    </row>
    <row r="22" spans="1:21" x14ac:dyDescent="0.45">
      <c r="A22" t="s">
        <v>59</v>
      </c>
      <c r="B22" t="s">
        <v>159</v>
      </c>
      <c r="C22" t="s">
        <v>163</v>
      </c>
      <c r="D22" s="4" t="s">
        <v>164</v>
      </c>
      <c r="E22" s="4" t="s">
        <v>168</v>
      </c>
      <c r="F22" t="s">
        <v>171</v>
      </c>
      <c r="G22" s="7">
        <v>46058</v>
      </c>
      <c r="H22" s="15">
        <v>25000</v>
      </c>
      <c r="I22" t="s">
        <v>173</v>
      </c>
      <c r="J22" t="s">
        <v>194</v>
      </c>
      <c r="L22" t="str">
        <v>CUST-1035</v>
      </c>
      <c r="M22" t="str">
        <v>Amit Verma</v>
      </c>
      <c r="N22" t="str">
        <v>amit@yahoo.com</v>
      </c>
      <c r="O22" t="str">
        <v>No Phone</v>
      </c>
      <c r="P22" t="str">
        <v>Delhi</v>
      </c>
      <c r="Q22" t="str">
        <v>Router</v>
      </c>
      <c r="R22">
        <v>46096</v>
      </c>
      <c r="S22">
        <v>125000</v>
      </c>
      <c r="T22" t="str">
        <v>Pending</v>
      </c>
      <c r="U22" t="str">
        <v>Na</v>
      </c>
    </row>
    <row r="23" spans="1:21" x14ac:dyDescent="0.45">
      <c r="A23" t="s">
        <v>60</v>
      </c>
      <c r="B23" t="s">
        <v>159</v>
      </c>
      <c r="C23" t="s">
        <v>195</v>
      </c>
      <c r="D23" s="4">
        <v>9876543210</v>
      </c>
      <c r="E23" s="4" t="s">
        <v>167</v>
      </c>
      <c r="F23" t="s">
        <v>22</v>
      </c>
      <c r="G23" s="7">
        <v>46086</v>
      </c>
      <c r="H23" s="15">
        <v>78000</v>
      </c>
      <c r="I23" t="s">
        <v>18</v>
      </c>
      <c r="J23" t="s">
        <v>176</v>
      </c>
      <c r="L23" t="str">
        <v>CUST-1036</v>
      </c>
      <c r="M23" t="str">
        <v>Amit Verma</v>
      </c>
      <c r="N23" t="str">
        <v>neha@gmail.com</v>
      </c>
      <c r="O23" t="str">
        <v>No Phone</v>
      </c>
      <c r="P23" t="str">
        <v>Delhi</v>
      </c>
      <c r="Q23" t="str">
        <v>Monitor</v>
      </c>
      <c r="R23">
        <v>46054</v>
      </c>
      <c r="S23">
        <v>78000</v>
      </c>
      <c r="T23" t="str">
        <v>Pending</v>
      </c>
      <c r="U23" t="str">
        <v>Na</v>
      </c>
    </row>
    <row r="24" spans="1:21" x14ac:dyDescent="0.45">
      <c r="A24" t="s">
        <v>61</v>
      </c>
      <c r="B24" t="s">
        <v>162</v>
      </c>
      <c r="C24" t="s">
        <v>195</v>
      </c>
      <c r="D24" s="4">
        <v>9123456780</v>
      </c>
      <c r="E24" s="4" t="s">
        <v>165</v>
      </c>
      <c r="F24" t="s">
        <v>22</v>
      </c>
      <c r="G24" s="7">
        <v>46058</v>
      </c>
      <c r="H24" s="15">
        <v>78000</v>
      </c>
      <c r="I24" t="s">
        <v>34</v>
      </c>
      <c r="J24" t="s">
        <v>174</v>
      </c>
      <c r="L24" t="str">
        <v>CUST-1037</v>
      </c>
      <c r="M24" t="str">
        <v>Priya Gupta</v>
      </c>
      <c r="N24" t="str">
        <v>priya@gmail.com</v>
      </c>
      <c r="O24" t="str">
        <v>No Phone</v>
      </c>
      <c r="P24" t="str">
        <v>Delhi</v>
      </c>
      <c r="Q24" t="str">
        <v>Mouse</v>
      </c>
      <c r="R24">
        <v>46058</v>
      </c>
      <c r="S24">
        <v>78000</v>
      </c>
      <c r="T24" t="str">
        <v>Completed</v>
      </c>
      <c r="U24" t="str">
        <v>Delayed</v>
      </c>
    </row>
    <row r="25" spans="1:21" x14ac:dyDescent="0.45">
      <c r="A25" t="s">
        <v>63</v>
      </c>
      <c r="B25" t="s">
        <v>158</v>
      </c>
      <c r="C25" t="s">
        <v>43</v>
      </c>
      <c r="D25" s="4">
        <v>9876543210</v>
      </c>
      <c r="E25" s="4" t="s">
        <v>167</v>
      </c>
      <c r="F25" t="s">
        <v>170</v>
      </c>
      <c r="G25" s="7">
        <v>46054</v>
      </c>
      <c r="H25" s="15">
        <v>78000</v>
      </c>
      <c r="I25" t="s">
        <v>173</v>
      </c>
      <c r="J25" t="s">
        <v>194</v>
      </c>
      <c r="L25" t="str">
        <v>CUST-1046</v>
      </c>
      <c r="M25" t="str">
        <v>Amit Verma</v>
      </c>
      <c r="N25" t="str">
        <v>rahul@gmail.com</v>
      </c>
      <c r="O25">
        <v>9876543210</v>
      </c>
      <c r="P25" t="str">
        <v>Delhi</v>
      </c>
      <c r="Q25" t="str">
        <v>Mouse</v>
      </c>
      <c r="R25">
        <v>46096</v>
      </c>
      <c r="S25">
        <v>25000</v>
      </c>
      <c r="T25" t="str">
        <v>Pending</v>
      </c>
      <c r="U25" t="str">
        <v>Unknown</v>
      </c>
    </row>
    <row r="26" spans="1:21" x14ac:dyDescent="0.45">
      <c r="A26" t="s">
        <v>64</v>
      </c>
      <c r="B26" t="s">
        <v>160</v>
      </c>
      <c r="C26" t="s">
        <v>12</v>
      </c>
      <c r="D26" s="4">
        <v>9123456780</v>
      </c>
      <c r="E26" s="4" t="s">
        <v>167</v>
      </c>
      <c r="F26" t="s">
        <v>14</v>
      </c>
      <c r="G26" s="7">
        <v>46054</v>
      </c>
      <c r="H26" s="15">
        <v>125000</v>
      </c>
      <c r="I26" t="s">
        <v>34</v>
      </c>
      <c r="J26" t="s">
        <v>26</v>
      </c>
      <c r="L26" t="str">
        <v>CUST-1063</v>
      </c>
      <c r="M26" t="str">
        <v>Rahul Sharma</v>
      </c>
      <c r="N26" t="str">
        <v>priya@gmail.com</v>
      </c>
      <c r="O26">
        <v>9876543210</v>
      </c>
      <c r="P26" t="str">
        <v>Delhi</v>
      </c>
      <c r="Q26" t="str">
        <v>Laptop</v>
      </c>
      <c r="R26">
        <v>46058</v>
      </c>
      <c r="S26">
        <v>78000</v>
      </c>
      <c r="T26" t="str">
        <v>Pending</v>
      </c>
      <c r="U26" t="str">
        <v>Delayed</v>
      </c>
    </row>
    <row r="27" spans="1:21" x14ac:dyDescent="0.45">
      <c r="A27" t="s">
        <v>66</v>
      </c>
      <c r="B27" t="s">
        <v>159</v>
      </c>
      <c r="C27" t="s">
        <v>12</v>
      </c>
      <c r="D27" s="4" t="s">
        <v>164</v>
      </c>
      <c r="E27" s="4" t="s">
        <v>166</v>
      </c>
      <c r="F27" t="s">
        <v>25</v>
      </c>
      <c r="G27" s="7">
        <v>46096</v>
      </c>
      <c r="H27" s="15">
        <v>125000</v>
      </c>
      <c r="I27" t="s">
        <v>173</v>
      </c>
      <c r="J27" t="s">
        <v>174</v>
      </c>
      <c r="L27" t="str">
        <v>CUST-1073</v>
      </c>
      <c r="M27" t="str">
        <v>Neha Singh</v>
      </c>
      <c r="N27" t="str">
        <v>neha@gmail.com</v>
      </c>
      <c r="O27">
        <v>9123456780</v>
      </c>
      <c r="P27" t="str">
        <v>Delhi</v>
      </c>
      <c r="Q27" t="str">
        <v>Office Chair</v>
      </c>
      <c r="R27">
        <v>46058</v>
      </c>
      <c r="S27">
        <v>45000</v>
      </c>
      <c r="T27" t="str">
        <v>Completed</v>
      </c>
      <c r="U27" t="str">
        <v>Delayed</v>
      </c>
    </row>
    <row r="28" spans="1:21" x14ac:dyDescent="0.45">
      <c r="A28" t="s">
        <v>67</v>
      </c>
      <c r="B28" t="s">
        <v>159</v>
      </c>
      <c r="C28" t="s">
        <v>43</v>
      </c>
      <c r="D28" s="4" t="s">
        <v>164</v>
      </c>
      <c r="E28" s="4" t="s">
        <v>166</v>
      </c>
      <c r="F28" t="s">
        <v>170</v>
      </c>
      <c r="G28" s="7">
        <v>46054</v>
      </c>
      <c r="H28" s="15">
        <v>78000</v>
      </c>
      <c r="I28" t="s">
        <v>173</v>
      </c>
      <c r="J28" t="s">
        <v>174</v>
      </c>
      <c r="L28" t="str">
        <v>CUST-1085</v>
      </c>
      <c r="M28" t="str">
        <v>Neha Singh</v>
      </c>
      <c r="N28" t="str">
        <v>amit@yahoo.com</v>
      </c>
      <c r="O28" t="str">
        <v>No Phone</v>
      </c>
      <c r="P28" t="str">
        <v>Delhi</v>
      </c>
      <c r="Q28" t="str">
        <v>Office Chair</v>
      </c>
      <c r="R28">
        <v>46054</v>
      </c>
      <c r="S28">
        <v>78000</v>
      </c>
      <c r="T28" t="str">
        <v>Pending</v>
      </c>
      <c r="U28" t="str">
        <v>Urgent</v>
      </c>
    </row>
    <row r="29" spans="1:21" x14ac:dyDescent="0.45">
      <c r="A29" t="s">
        <v>68</v>
      </c>
      <c r="B29" t="s">
        <v>158</v>
      </c>
      <c r="C29" t="s">
        <v>163</v>
      </c>
      <c r="D29" s="4" t="s">
        <v>164</v>
      </c>
      <c r="E29" s="4" t="s">
        <v>166</v>
      </c>
      <c r="F29" t="s">
        <v>22</v>
      </c>
      <c r="G29" s="7">
        <v>46058</v>
      </c>
      <c r="H29" s="15">
        <v>78000</v>
      </c>
      <c r="I29" t="s">
        <v>34</v>
      </c>
      <c r="J29" t="s">
        <v>175</v>
      </c>
      <c r="L29" t="str">
        <v>CUST-1095</v>
      </c>
      <c r="M29" t="str">
        <v>Rahul Sharma</v>
      </c>
      <c r="N29" t="str">
        <v>neha@gmail.com</v>
      </c>
      <c r="O29">
        <v>9876543210</v>
      </c>
      <c r="P29" t="str">
        <v>Delhi</v>
      </c>
      <c r="Q29" t="str">
        <v>Mouse</v>
      </c>
      <c r="R29">
        <v>46058</v>
      </c>
      <c r="S29">
        <v>78000</v>
      </c>
      <c r="T29" t="str">
        <v>Completed</v>
      </c>
      <c r="U29" t="str">
        <v>Follow Up</v>
      </c>
    </row>
    <row r="30" spans="1:21" x14ac:dyDescent="0.45">
      <c r="A30" t="s">
        <v>73</v>
      </c>
      <c r="B30" t="s">
        <v>161</v>
      </c>
      <c r="C30" t="s">
        <v>43</v>
      </c>
      <c r="D30" s="4">
        <v>9123456780</v>
      </c>
      <c r="E30" s="4" t="s">
        <v>167</v>
      </c>
      <c r="F30" t="s">
        <v>25</v>
      </c>
      <c r="G30" s="7">
        <v>46096</v>
      </c>
      <c r="H30" s="15">
        <v>78000</v>
      </c>
      <c r="I30" t="s">
        <v>34</v>
      </c>
      <c r="J30" t="s">
        <v>175</v>
      </c>
      <c r="L30" t="str">
        <v>CUST-1101</v>
      </c>
      <c r="M30" t="str">
        <v>Amit Verma</v>
      </c>
      <c r="N30" t="str">
        <v>neha@gmail.com</v>
      </c>
      <c r="O30">
        <v>9876543210</v>
      </c>
      <c r="P30" t="str">
        <v>Delhi</v>
      </c>
      <c r="Q30" t="str">
        <v>Office Chair</v>
      </c>
      <c r="R30">
        <v>46058</v>
      </c>
      <c r="S30">
        <v>78000</v>
      </c>
      <c r="T30" t="str">
        <v>Completed</v>
      </c>
      <c r="U30" t="str">
        <v>Follow Up</v>
      </c>
    </row>
    <row r="31" spans="1:21" x14ac:dyDescent="0.45">
      <c r="A31" t="s">
        <v>74</v>
      </c>
      <c r="B31" t="s">
        <v>159</v>
      </c>
      <c r="C31" t="s">
        <v>195</v>
      </c>
      <c r="D31" s="4">
        <v>9876543210</v>
      </c>
      <c r="E31" s="4" t="s">
        <v>165</v>
      </c>
      <c r="F31" t="s">
        <v>171</v>
      </c>
      <c r="G31" s="7">
        <v>46054</v>
      </c>
      <c r="H31" s="15">
        <v>78000</v>
      </c>
      <c r="I31" t="s">
        <v>34</v>
      </c>
      <c r="J31" t="s">
        <v>174</v>
      </c>
    </row>
    <row r="32" spans="1:21" x14ac:dyDescent="0.45">
      <c r="A32" t="s">
        <v>75</v>
      </c>
      <c r="B32" t="s">
        <v>158</v>
      </c>
      <c r="C32" t="s">
        <v>20</v>
      </c>
      <c r="D32" s="4">
        <v>9876543210</v>
      </c>
      <c r="E32" s="4" t="s">
        <v>169</v>
      </c>
      <c r="F32" t="s">
        <v>172</v>
      </c>
      <c r="G32" s="7">
        <v>46058</v>
      </c>
      <c r="H32" s="15">
        <v>25000</v>
      </c>
      <c r="I32" t="s">
        <v>34</v>
      </c>
      <c r="J32" t="s">
        <v>177</v>
      </c>
    </row>
    <row r="33" spans="1:10" x14ac:dyDescent="0.45">
      <c r="A33" t="s">
        <v>76</v>
      </c>
      <c r="B33" t="s">
        <v>159</v>
      </c>
      <c r="C33" t="s">
        <v>20</v>
      </c>
      <c r="D33" s="4">
        <v>9876543210</v>
      </c>
      <c r="E33" s="4" t="s">
        <v>166</v>
      </c>
      <c r="F33" t="s">
        <v>22</v>
      </c>
      <c r="G33" s="7">
        <v>46096</v>
      </c>
      <c r="H33" s="15">
        <v>25000</v>
      </c>
      <c r="I33" t="s">
        <v>173</v>
      </c>
      <c r="J33" t="s">
        <v>194</v>
      </c>
    </row>
    <row r="34" spans="1:10" x14ac:dyDescent="0.45">
      <c r="A34" t="s">
        <v>77</v>
      </c>
      <c r="B34" t="s">
        <v>161</v>
      </c>
      <c r="C34" t="s">
        <v>43</v>
      </c>
      <c r="D34" s="4">
        <v>9876543210</v>
      </c>
      <c r="E34" s="4" t="s">
        <v>168</v>
      </c>
      <c r="F34" t="s">
        <v>172</v>
      </c>
      <c r="G34" s="7">
        <v>46086</v>
      </c>
      <c r="H34" s="15">
        <v>125000</v>
      </c>
      <c r="I34" t="s">
        <v>173</v>
      </c>
      <c r="J34" t="s">
        <v>177</v>
      </c>
    </row>
    <row r="35" spans="1:10" x14ac:dyDescent="0.45">
      <c r="A35" t="s">
        <v>78</v>
      </c>
      <c r="B35" t="s">
        <v>161</v>
      </c>
      <c r="C35" t="s">
        <v>195</v>
      </c>
      <c r="D35" s="4">
        <v>9123456780</v>
      </c>
      <c r="E35" s="4" t="s">
        <v>167</v>
      </c>
      <c r="F35" t="s">
        <v>172</v>
      </c>
      <c r="G35" s="7">
        <v>46096</v>
      </c>
      <c r="H35" s="15">
        <v>78000</v>
      </c>
      <c r="I35" t="s">
        <v>173</v>
      </c>
      <c r="J35" t="s">
        <v>177</v>
      </c>
    </row>
    <row r="36" spans="1:10" x14ac:dyDescent="0.45">
      <c r="A36" t="s">
        <v>79</v>
      </c>
      <c r="B36" t="s">
        <v>160</v>
      </c>
      <c r="C36" t="s">
        <v>195</v>
      </c>
      <c r="D36" s="4">
        <v>9123456780</v>
      </c>
      <c r="E36" s="4" t="s">
        <v>168</v>
      </c>
      <c r="F36" t="s">
        <v>14</v>
      </c>
      <c r="G36" s="7">
        <v>46058</v>
      </c>
      <c r="H36" s="15">
        <v>78000</v>
      </c>
      <c r="I36" t="s">
        <v>34</v>
      </c>
      <c r="J36" t="s">
        <v>174</v>
      </c>
    </row>
    <row r="37" spans="1:10" x14ac:dyDescent="0.45">
      <c r="A37" t="s">
        <v>80</v>
      </c>
      <c r="B37" t="s">
        <v>161</v>
      </c>
      <c r="C37" t="s">
        <v>12</v>
      </c>
      <c r="D37" s="4">
        <v>9876543210</v>
      </c>
      <c r="E37" s="4" t="s">
        <v>39</v>
      </c>
      <c r="F37" t="s">
        <v>170</v>
      </c>
      <c r="G37" s="7">
        <v>46096</v>
      </c>
      <c r="H37" s="15">
        <v>78000</v>
      </c>
      <c r="I37" t="s">
        <v>34</v>
      </c>
      <c r="J37" t="s">
        <v>194</v>
      </c>
    </row>
    <row r="38" spans="1:10" x14ac:dyDescent="0.45">
      <c r="A38" t="s">
        <v>84</v>
      </c>
      <c r="B38" t="s">
        <v>161</v>
      </c>
      <c r="C38" t="s">
        <v>12</v>
      </c>
      <c r="D38" s="4">
        <v>9123456780</v>
      </c>
      <c r="E38" s="4" t="s">
        <v>169</v>
      </c>
      <c r="F38" t="s">
        <v>172</v>
      </c>
      <c r="G38" s="7">
        <v>46096</v>
      </c>
      <c r="H38" s="15">
        <v>78000</v>
      </c>
      <c r="I38" t="s">
        <v>18</v>
      </c>
      <c r="J38" t="s">
        <v>175</v>
      </c>
    </row>
    <row r="39" spans="1:10" x14ac:dyDescent="0.45">
      <c r="A39" t="s">
        <v>86</v>
      </c>
      <c r="B39" t="s">
        <v>161</v>
      </c>
      <c r="C39" t="s">
        <v>12</v>
      </c>
      <c r="D39" s="4">
        <v>9876543210</v>
      </c>
      <c r="E39" s="4" t="s">
        <v>165</v>
      </c>
      <c r="F39" t="s">
        <v>170</v>
      </c>
      <c r="G39" s="7">
        <v>46054</v>
      </c>
      <c r="H39" s="15">
        <v>125000</v>
      </c>
      <c r="I39" t="s">
        <v>173</v>
      </c>
      <c r="J39" t="s">
        <v>26</v>
      </c>
    </row>
    <row r="40" spans="1:10" x14ac:dyDescent="0.45">
      <c r="A40" t="s">
        <v>89</v>
      </c>
      <c r="B40" t="s">
        <v>160</v>
      </c>
      <c r="C40" t="s">
        <v>20</v>
      </c>
      <c r="D40" s="4" t="s">
        <v>164</v>
      </c>
      <c r="E40" s="4" t="s">
        <v>167</v>
      </c>
      <c r="F40" t="s">
        <v>22</v>
      </c>
      <c r="G40" s="7">
        <v>46086</v>
      </c>
      <c r="H40" s="15">
        <v>45000</v>
      </c>
      <c r="I40" t="s">
        <v>18</v>
      </c>
      <c r="J40" t="s">
        <v>176</v>
      </c>
    </row>
    <row r="41" spans="1:10" x14ac:dyDescent="0.45">
      <c r="A41" t="s">
        <v>90</v>
      </c>
      <c r="B41" t="s">
        <v>162</v>
      </c>
      <c r="C41" t="s">
        <v>43</v>
      </c>
      <c r="D41" s="4" t="s">
        <v>164</v>
      </c>
      <c r="E41" s="4" t="s">
        <v>168</v>
      </c>
      <c r="F41" t="s">
        <v>170</v>
      </c>
      <c r="G41" s="7">
        <v>46054</v>
      </c>
      <c r="H41" s="15">
        <v>78000</v>
      </c>
      <c r="I41" t="s">
        <v>34</v>
      </c>
      <c r="J41" t="s">
        <v>194</v>
      </c>
    </row>
    <row r="42" spans="1:10" x14ac:dyDescent="0.45">
      <c r="A42" t="s">
        <v>91</v>
      </c>
      <c r="B42" t="s">
        <v>160</v>
      </c>
      <c r="C42" t="s">
        <v>20</v>
      </c>
      <c r="D42" s="4">
        <v>9123456780</v>
      </c>
      <c r="E42" s="4" t="s">
        <v>169</v>
      </c>
      <c r="F42" t="s">
        <v>14</v>
      </c>
      <c r="G42" s="7">
        <v>46058</v>
      </c>
      <c r="H42" s="15">
        <v>78000</v>
      </c>
      <c r="I42" t="s">
        <v>34</v>
      </c>
      <c r="J42" t="s">
        <v>177</v>
      </c>
    </row>
    <row r="43" spans="1:10" x14ac:dyDescent="0.45">
      <c r="A43" t="s">
        <v>92</v>
      </c>
      <c r="B43" t="s">
        <v>161</v>
      </c>
      <c r="C43" t="s">
        <v>163</v>
      </c>
      <c r="D43" s="4">
        <v>9876543210</v>
      </c>
      <c r="E43" s="4" t="s">
        <v>166</v>
      </c>
      <c r="F43" t="s">
        <v>172</v>
      </c>
      <c r="G43" s="7">
        <v>46058</v>
      </c>
      <c r="H43" s="15">
        <v>78000</v>
      </c>
      <c r="I43" t="s">
        <v>173</v>
      </c>
      <c r="J43" t="s">
        <v>175</v>
      </c>
    </row>
    <row r="44" spans="1:10" x14ac:dyDescent="0.45">
      <c r="A44" t="s">
        <v>94</v>
      </c>
      <c r="B44" t="s">
        <v>162</v>
      </c>
      <c r="C44" t="s">
        <v>163</v>
      </c>
      <c r="D44" s="4">
        <v>9123456780</v>
      </c>
      <c r="E44" s="4" t="s">
        <v>167</v>
      </c>
      <c r="F44" t="s">
        <v>172</v>
      </c>
      <c r="G44" s="7">
        <v>46058</v>
      </c>
      <c r="H44" s="15">
        <v>78000</v>
      </c>
      <c r="I44" t="s">
        <v>18</v>
      </c>
      <c r="J44" t="s">
        <v>175</v>
      </c>
    </row>
    <row r="45" spans="1:10" x14ac:dyDescent="0.45">
      <c r="A45" t="s">
        <v>95</v>
      </c>
      <c r="B45" t="s">
        <v>158</v>
      </c>
      <c r="C45" t="s">
        <v>12</v>
      </c>
      <c r="D45" s="4">
        <v>9876543210</v>
      </c>
      <c r="E45" s="4" t="s">
        <v>165</v>
      </c>
      <c r="F45" t="s">
        <v>172</v>
      </c>
      <c r="G45" s="7">
        <v>46096</v>
      </c>
      <c r="H45" s="15">
        <v>45000</v>
      </c>
      <c r="I45" t="s">
        <v>173</v>
      </c>
      <c r="J45" t="s">
        <v>176</v>
      </c>
    </row>
    <row r="46" spans="1:10" x14ac:dyDescent="0.45">
      <c r="A46" t="s">
        <v>96</v>
      </c>
      <c r="B46" t="s">
        <v>158</v>
      </c>
      <c r="C46" t="s">
        <v>20</v>
      </c>
      <c r="D46" s="4" t="s">
        <v>164</v>
      </c>
      <c r="E46" s="4" t="s">
        <v>169</v>
      </c>
      <c r="F46" t="s">
        <v>171</v>
      </c>
      <c r="G46" s="7">
        <v>46086</v>
      </c>
      <c r="H46" s="15">
        <v>78000</v>
      </c>
      <c r="I46" t="s">
        <v>34</v>
      </c>
      <c r="J46" t="s">
        <v>26</v>
      </c>
    </row>
    <row r="47" spans="1:10" x14ac:dyDescent="0.45">
      <c r="A47" t="s">
        <v>97</v>
      </c>
      <c r="B47" t="s">
        <v>160</v>
      </c>
      <c r="C47" t="s">
        <v>20</v>
      </c>
      <c r="D47" s="4">
        <v>9876543210</v>
      </c>
      <c r="E47" s="4" t="s">
        <v>165</v>
      </c>
      <c r="F47" t="s">
        <v>172</v>
      </c>
      <c r="G47" s="7">
        <v>46058</v>
      </c>
      <c r="H47" s="15">
        <v>78000</v>
      </c>
      <c r="I47" t="s">
        <v>34</v>
      </c>
      <c r="J47" t="s">
        <v>177</v>
      </c>
    </row>
    <row r="48" spans="1:10" x14ac:dyDescent="0.45">
      <c r="A48" t="s">
        <v>98</v>
      </c>
      <c r="B48" t="s">
        <v>158</v>
      </c>
      <c r="C48" t="s">
        <v>20</v>
      </c>
      <c r="D48" s="4" t="s">
        <v>164</v>
      </c>
      <c r="E48" s="4" t="s">
        <v>167</v>
      </c>
      <c r="F48" t="s">
        <v>171</v>
      </c>
      <c r="G48" s="7">
        <v>46086</v>
      </c>
      <c r="H48" s="15">
        <v>45000</v>
      </c>
      <c r="I48" t="s">
        <v>173</v>
      </c>
      <c r="J48" t="s">
        <v>175</v>
      </c>
    </row>
    <row r="49" spans="1:10" x14ac:dyDescent="0.45">
      <c r="A49" t="s">
        <v>99</v>
      </c>
      <c r="B49" t="s">
        <v>158</v>
      </c>
      <c r="C49" t="s">
        <v>163</v>
      </c>
      <c r="D49" s="4">
        <v>9876543210</v>
      </c>
      <c r="E49" s="4" t="s">
        <v>167</v>
      </c>
      <c r="F49" t="s">
        <v>25</v>
      </c>
      <c r="G49" s="7">
        <v>46054</v>
      </c>
      <c r="H49" s="15">
        <v>125000</v>
      </c>
      <c r="I49" t="s">
        <v>173</v>
      </c>
      <c r="J49" t="s">
        <v>26</v>
      </c>
    </row>
    <row r="50" spans="1:10" x14ac:dyDescent="0.45">
      <c r="A50" t="s">
        <v>102</v>
      </c>
      <c r="B50" t="s">
        <v>160</v>
      </c>
      <c r="C50" t="s">
        <v>43</v>
      </c>
      <c r="D50" s="4">
        <v>9123456780</v>
      </c>
      <c r="E50" s="4" t="s">
        <v>166</v>
      </c>
      <c r="F50" t="s">
        <v>14</v>
      </c>
      <c r="G50" s="7">
        <v>46058</v>
      </c>
      <c r="H50" s="15">
        <v>45000</v>
      </c>
      <c r="I50" t="s">
        <v>34</v>
      </c>
      <c r="J50" t="s">
        <v>175</v>
      </c>
    </row>
    <row r="51" spans="1:10" x14ac:dyDescent="0.45">
      <c r="A51" t="s">
        <v>103</v>
      </c>
      <c r="B51" t="s">
        <v>161</v>
      </c>
      <c r="C51" t="s">
        <v>163</v>
      </c>
      <c r="D51" s="4">
        <v>9876543210</v>
      </c>
      <c r="E51" s="4" t="s">
        <v>39</v>
      </c>
      <c r="F51" t="s">
        <v>171</v>
      </c>
      <c r="G51" s="7">
        <v>46054</v>
      </c>
      <c r="H51" s="15">
        <v>25000</v>
      </c>
      <c r="I51" t="s">
        <v>34</v>
      </c>
      <c r="J51" t="s">
        <v>177</v>
      </c>
    </row>
    <row r="52" spans="1:10" x14ac:dyDescent="0.45">
      <c r="A52" t="s">
        <v>107</v>
      </c>
      <c r="B52" t="s">
        <v>162</v>
      </c>
      <c r="C52" t="s">
        <v>163</v>
      </c>
      <c r="D52" s="4">
        <v>9123456780</v>
      </c>
      <c r="E52" s="4" t="s">
        <v>165</v>
      </c>
      <c r="F52" t="s">
        <v>171</v>
      </c>
      <c r="G52" s="7">
        <v>46058</v>
      </c>
      <c r="H52" s="15">
        <v>78000</v>
      </c>
      <c r="I52" t="s">
        <v>34</v>
      </c>
      <c r="J52" t="s">
        <v>177</v>
      </c>
    </row>
    <row r="53" spans="1:10" x14ac:dyDescent="0.45">
      <c r="A53" t="s">
        <v>108</v>
      </c>
      <c r="B53" t="s">
        <v>162</v>
      </c>
      <c r="C53" t="s">
        <v>12</v>
      </c>
      <c r="D53" s="4">
        <v>9876543210</v>
      </c>
      <c r="E53" s="4" t="s">
        <v>169</v>
      </c>
      <c r="F53" t="s">
        <v>172</v>
      </c>
      <c r="G53" s="7">
        <v>46086</v>
      </c>
      <c r="H53" s="15">
        <v>78000</v>
      </c>
      <c r="I53" t="s">
        <v>173</v>
      </c>
      <c r="J53" t="s">
        <v>175</v>
      </c>
    </row>
    <row r="54" spans="1:10" x14ac:dyDescent="0.45">
      <c r="A54" t="s">
        <v>109</v>
      </c>
      <c r="B54" t="s">
        <v>161</v>
      </c>
      <c r="C54" t="s">
        <v>43</v>
      </c>
      <c r="D54" s="4">
        <v>9876543210</v>
      </c>
      <c r="E54" s="4" t="s">
        <v>167</v>
      </c>
      <c r="F54" t="s">
        <v>25</v>
      </c>
      <c r="G54" s="7">
        <v>46054</v>
      </c>
      <c r="H54" s="15">
        <v>25000</v>
      </c>
      <c r="I54" t="s">
        <v>34</v>
      </c>
      <c r="J54" t="s">
        <v>176</v>
      </c>
    </row>
    <row r="55" spans="1:10" x14ac:dyDescent="0.45">
      <c r="A55" t="s">
        <v>110</v>
      </c>
      <c r="B55" t="s">
        <v>162</v>
      </c>
      <c r="C55" t="s">
        <v>20</v>
      </c>
      <c r="D55" s="4">
        <v>9876543210</v>
      </c>
      <c r="E55" s="4" t="s">
        <v>169</v>
      </c>
      <c r="F55" t="s">
        <v>171</v>
      </c>
      <c r="G55" s="7">
        <v>46054</v>
      </c>
      <c r="H55" s="15">
        <v>45000</v>
      </c>
      <c r="I55" t="s">
        <v>34</v>
      </c>
      <c r="J55" t="s">
        <v>194</v>
      </c>
    </row>
    <row r="56" spans="1:10" x14ac:dyDescent="0.45">
      <c r="A56" t="s">
        <v>111</v>
      </c>
      <c r="B56" t="s">
        <v>162</v>
      </c>
      <c r="C56" t="s">
        <v>12</v>
      </c>
      <c r="D56" s="4">
        <v>9876543210</v>
      </c>
      <c r="E56" s="4" t="s">
        <v>169</v>
      </c>
      <c r="F56" t="s">
        <v>22</v>
      </c>
      <c r="G56" s="7">
        <v>46058</v>
      </c>
      <c r="H56" s="15">
        <v>78000</v>
      </c>
      <c r="I56" t="s">
        <v>18</v>
      </c>
      <c r="J56" t="s">
        <v>176</v>
      </c>
    </row>
    <row r="57" spans="1:10" x14ac:dyDescent="0.45">
      <c r="A57" t="s">
        <v>113</v>
      </c>
      <c r="B57" t="s">
        <v>160</v>
      </c>
      <c r="C57" t="s">
        <v>12</v>
      </c>
      <c r="D57" s="4" t="s">
        <v>164</v>
      </c>
      <c r="E57" s="4" t="s">
        <v>166</v>
      </c>
      <c r="F57" t="s">
        <v>14</v>
      </c>
      <c r="G57" s="7">
        <v>46054</v>
      </c>
      <c r="H57" s="15">
        <v>78000</v>
      </c>
      <c r="I57" t="s">
        <v>173</v>
      </c>
      <c r="J57" t="s">
        <v>176</v>
      </c>
    </row>
    <row r="58" spans="1:10" x14ac:dyDescent="0.45">
      <c r="A58" t="s">
        <v>114</v>
      </c>
      <c r="B58" t="s">
        <v>162</v>
      </c>
      <c r="C58" t="s">
        <v>163</v>
      </c>
      <c r="D58" s="4">
        <v>9876543210</v>
      </c>
      <c r="E58" s="4" t="s">
        <v>168</v>
      </c>
      <c r="F58" t="s">
        <v>170</v>
      </c>
      <c r="G58" s="7">
        <v>46096</v>
      </c>
      <c r="H58" s="15">
        <v>25000</v>
      </c>
      <c r="I58" t="s">
        <v>34</v>
      </c>
      <c r="J58" t="s">
        <v>176</v>
      </c>
    </row>
    <row r="59" spans="1:10" x14ac:dyDescent="0.45">
      <c r="A59" t="s">
        <v>115</v>
      </c>
      <c r="B59" t="s">
        <v>160</v>
      </c>
      <c r="C59" t="s">
        <v>163</v>
      </c>
      <c r="D59" s="4">
        <v>9876543210</v>
      </c>
      <c r="E59" s="4" t="s">
        <v>167</v>
      </c>
      <c r="F59" t="s">
        <v>172</v>
      </c>
      <c r="G59" s="7">
        <v>46086</v>
      </c>
      <c r="H59" s="15">
        <v>45000</v>
      </c>
      <c r="I59" t="s">
        <v>34</v>
      </c>
      <c r="J59" t="s">
        <v>176</v>
      </c>
    </row>
    <row r="60" spans="1:10" x14ac:dyDescent="0.45">
      <c r="A60" t="s">
        <v>117</v>
      </c>
      <c r="B60" t="s">
        <v>162</v>
      </c>
      <c r="C60" t="s">
        <v>43</v>
      </c>
      <c r="D60" s="4">
        <v>9876543210</v>
      </c>
      <c r="E60" s="4" t="s">
        <v>167</v>
      </c>
      <c r="F60" t="s">
        <v>171</v>
      </c>
      <c r="G60" s="7">
        <v>46058</v>
      </c>
      <c r="H60" s="15">
        <v>78000</v>
      </c>
      <c r="I60" t="s">
        <v>173</v>
      </c>
      <c r="J60" t="s">
        <v>26</v>
      </c>
    </row>
    <row r="61" spans="1:10" x14ac:dyDescent="0.45">
      <c r="A61" t="s">
        <v>118</v>
      </c>
      <c r="B61" t="s">
        <v>159</v>
      </c>
      <c r="C61" t="s">
        <v>43</v>
      </c>
      <c r="D61" s="4">
        <v>9876543210</v>
      </c>
      <c r="E61" s="4" t="s">
        <v>39</v>
      </c>
      <c r="F61" t="s">
        <v>22</v>
      </c>
      <c r="G61" s="7">
        <v>46058</v>
      </c>
      <c r="H61" s="15">
        <v>45000</v>
      </c>
      <c r="I61" t="s">
        <v>18</v>
      </c>
      <c r="J61" t="s">
        <v>194</v>
      </c>
    </row>
    <row r="62" spans="1:10" x14ac:dyDescent="0.45">
      <c r="A62" t="s">
        <v>119</v>
      </c>
      <c r="B62" t="s">
        <v>162</v>
      </c>
      <c r="C62" t="s">
        <v>20</v>
      </c>
      <c r="D62" s="4">
        <v>9876543210</v>
      </c>
      <c r="E62" s="4" t="s">
        <v>165</v>
      </c>
      <c r="F62" t="s">
        <v>170</v>
      </c>
      <c r="G62" s="7">
        <v>46054</v>
      </c>
      <c r="H62" s="15">
        <v>25000</v>
      </c>
      <c r="I62" t="s">
        <v>34</v>
      </c>
      <c r="J62" t="s">
        <v>194</v>
      </c>
    </row>
    <row r="63" spans="1:10" x14ac:dyDescent="0.45">
      <c r="A63" t="s">
        <v>120</v>
      </c>
      <c r="B63" t="s">
        <v>161</v>
      </c>
      <c r="C63" t="s">
        <v>20</v>
      </c>
      <c r="D63" s="4">
        <v>9876543210</v>
      </c>
      <c r="E63" s="4" t="s">
        <v>165</v>
      </c>
      <c r="F63" t="s">
        <v>22</v>
      </c>
      <c r="G63" s="7">
        <v>46054</v>
      </c>
      <c r="H63" s="15">
        <v>78000</v>
      </c>
      <c r="I63" t="s">
        <v>173</v>
      </c>
      <c r="J63" t="s">
        <v>177</v>
      </c>
    </row>
    <row r="64" spans="1:10" x14ac:dyDescent="0.45">
      <c r="A64" t="s">
        <v>122</v>
      </c>
      <c r="B64" t="s">
        <v>161</v>
      </c>
      <c r="C64" t="s">
        <v>43</v>
      </c>
      <c r="D64" s="4">
        <v>9876543210</v>
      </c>
      <c r="E64" s="4" t="s">
        <v>166</v>
      </c>
      <c r="F64" t="s">
        <v>22</v>
      </c>
      <c r="G64" s="7">
        <v>46058</v>
      </c>
      <c r="H64" s="15">
        <v>78000</v>
      </c>
      <c r="I64" t="s">
        <v>34</v>
      </c>
      <c r="J64" t="s">
        <v>26</v>
      </c>
    </row>
    <row r="65" spans="1:10" x14ac:dyDescent="0.45">
      <c r="A65" t="s">
        <v>123</v>
      </c>
      <c r="B65" t="s">
        <v>159</v>
      </c>
      <c r="C65" t="s">
        <v>20</v>
      </c>
      <c r="D65" s="4">
        <v>9876543210</v>
      </c>
      <c r="E65" s="4" t="s">
        <v>168</v>
      </c>
      <c r="F65" t="s">
        <v>25</v>
      </c>
      <c r="G65" s="7">
        <v>46054</v>
      </c>
      <c r="H65" s="15">
        <v>78000</v>
      </c>
      <c r="I65" t="s">
        <v>34</v>
      </c>
      <c r="J65" t="s">
        <v>174</v>
      </c>
    </row>
    <row r="66" spans="1:10" x14ac:dyDescent="0.45">
      <c r="A66" t="s">
        <v>124</v>
      </c>
      <c r="B66" t="s">
        <v>158</v>
      </c>
      <c r="C66" t="s">
        <v>20</v>
      </c>
      <c r="D66" s="4">
        <v>9876543210</v>
      </c>
      <c r="E66" s="4" t="s">
        <v>168</v>
      </c>
      <c r="F66" t="s">
        <v>171</v>
      </c>
      <c r="G66" s="7">
        <v>46096</v>
      </c>
      <c r="H66" s="15">
        <v>25000</v>
      </c>
      <c r="I66" t="s">
        <v>34</v>
      </c>
      <c r="J66" t="s">
        <v>174</v>
      </c>
    </row>
    <row r="67" spans="1:10" x14ac:dyDescent="0.45">
      <c r="A67" t="s">
        <v>125</v>
      </c>
      <c r="B67" t="s">
        <v>159</v>
      </c>
      <c r="C67" t="s">
        <v>163</v>
      </c>
      <c r="D67" s="4">
        <v>9123456780</v>
      </c>
      <c r="E67" s="4" t="s">
        <v>168</v>
      </c>
      <c r="F67" t="s">
        <v>172</v>
      </c>
      <c r="G67" s="7">
        <v>46096</v>
      </c>
      <c r="H67" s="15">
        <v>125000</v>
      </c>
      <c r="I67" t="s">
        <v>34</v>
      </c>
      <c r="J67" t="s">
        <v>175</v>
      </c>
    </row>
    <row r="68" spans="1:10" x14ac:dyDescent="0.45">
      <c r="A68" t="s">
        <v>126</v>
      </c>
      <c r="B68" t="s">
        <v>161</v>
      </c>
      <c r="C68" t="s">
        <v>20</v>
      </c>
      <c r="D68" s="4" t="s">
        <v>164</v>
      </c>
      <c r="E68" s="4" t="s">
        <v>167</v>
      </c>
      <c r="F68" t="s">
        <v>171</v>
      </c>
      <c r="G68" s="7">
        <v>46054</v>
      </c>
      <c r="H68" s="15">
        <v>25000</v>
      </c>
      <c r="I68" t="s">
        <v>173</v>
      </c>
      <c r="J68" t="s">
        <v>174</v>
      </c>
    </row>
    <row r="69" spans="1:10" x14ac:dyDescent="0.45">
      <c r="A69" t="s">
        <v>128</v>
      </c>
      <c r="B69" t="s">
        <v>159</v>
      </c>
      <c r="C69" t="s">
        <v>43</v>
      </c>
      <c r="D69" s="4">
        <v>9876543210</v>
      </c>
      <c r="E69" s="4" t="s">
        <v>166</v>
      </c>
      <c r="F69" t="s">
        <v>14</v>
      </c>
      <c r="G69" s="7">
        <v>46058</v>
      </c>
      <c r="H69" s="15">
        <v>78000</v>
      </c>
      <c r="I69" t="s">
        <v>34</v>
      </c>
      <c r="J69" t="s">
        <v>26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5711-E725-4183-A7ED-A0D4378D7BD8}">
  <dimension ref="A1:M101"/>
  <sheetViews>
    <sheetView zoomScale="190" zoomScaleNormal="190" workbookViewId="0">
      <selection activeCell="A2" sqref="A2"/>
    </sheetView>
  </sheetViews>
  <sheetFormatPr defaultRowHeight="14.25" x14ac:dyDescent="0.45"/>
  <sheetData>
    <row r="1" spans="1:13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3" x14ac:dyDescent="0.45">
      <c r="A2" s="5" t="s">
        <v>10</v>
      </c>
      <c r="B2" s="5" t="s">
        <v>11</v>
      </c>
      <c r="C2" s="5" t="s">
        <v>12</v>
      </c>
      <c r="D2" s="5">
        <v>9876543210</v>
      </c>
      <c r="E2" s="5" t="s">
        <v>13</v>
      </c>
      <c r="F2" s="5" t="s">
        <v>14</v>
      </c>
      <c r="G2" s="12">
        <v>46058</v>
      </c>
      <c r="H2" s="5">
        <v>25000</v>
      </c>
      <c r="I2" s="5" t="s">
        <v>178</v>
      </c>
      <c r="J2" s="5" t="s">
        <v>15</v>
      </c>
    </row>
    <row r="3" spans="1:13" x14ac:dyDescent="0.45">
      <c r="A3" s="5" t="s">
        <v>16</v>
      </c>
      <c r="B3" s="5" t="s">
        <v>159</v>
      </c>
      <c r="C3" s="5" t="s">
        <v>179</v>
      </c>
      <c r="D3" s="5" t="s">
        <v>17</v>
      </c>
      <c r="E3" s="5" t="s">
        <v>166</v>
      </c>
      <c r="F3" s="5" t="s">
        <v>170</v>
      </c>
      <c r="G3" s="5"/>
      <c r="H3" s="5">
        <v>78000</v>
      </c>
      <c r="I3" s="5" t="s">
        <v>18</v>
      </c>
      <c r="J3" s="5" t="s">
        <v>180</v>
      </c>
      <c r="M3">
        <f>COUNTA(A2:A101)</f>
        <v>94</v>
      </c>
    </row>
    <row r="4" spans="1:13" x14ac:dyDescent="0.45">
      <c r="A4" s="5" t="s">
        <v>19</v>
      </c>
      <c r="B4" s="5" t="s">
        <v>11</v>
      </c>
      <c r="C4" s="8" t="s">
        <v>20</v>
      </c>
      <c r="D4" s="5"/>
      <c r="E4" s="5" t="s">
        <v>167</v>
      </c>
      <c r="F4" s="5" t="s">
        <v>170</v>
      </c>
      <c r="G4" s="12">
        <v>46096</v>
      </c>
      <c r="H4" s="5">
        <v>125000</v>
      </c>
      <c r="I4" s="5" t="s">
        <v>18</v>
      </c>
      <c r="J4" s="5" t="s">
        <v>181</v>
      </c>
    </row>
    <row r="5" spans="1:13" x14ac:dyDescent="0.45">
      <c r="A5" s="5" t="s">
        <v>21</v>
      </c>
      <c r="B5" s="5" t="s">
        <v>11</v>
      </c>
      <c r="C5" s="5" t="s">
        <v>179</v>
      </c>
      <c r="D5" s="5">
        <v>9876543210</v>
      </c>
      <c r="E5" s="5" t="s">
        <v>166</v>
      </c>
      <c r="F5" s="5" t="s">
        <v>22</v>
      </c>
      <c r="G5" s="12">
        <v>46096</v>
      </c>
      <c r="H5" s="5">
        <v>125000</v>
      </c>
      <c r="I5" s="5" t="s">
        <v>23</v>
      </c>
      <c r="J5" s="8" t="s">
        <v>177</v>
      </c>
    </row>
    <row r="6" spans="1:13" x14ac:dyDescent="0.45">
      <c r="A6" s="5" t="s">
        <v>24</v>
      </c>
      <c r="B6" s="5" t="s">
        <v>159</v>
      </c>
      <c r="C6" s="8" t="s">
        <v>12</v>
      </c>
      <c r="D6" s="5"/>
      <c r="E6" s="5" t="s">
        <v>166</v>
      </c>
      <c r="F6" s="5" t="s">
        <v>25</v>
      </c>
      <c r="G6" s="5"/>
      <c r="H6" s="5">
        <v>125000</v>
      </c>
      <c r="I6" s="5" t="s">
        <v>178</v>
      </c>
      <c r="J6" s="8" t="s">
        <v>26</v>
      </c>
    </row>
    <row r="7" spans="1:13" x14ac:dyDescent="0.45">
      <c r="A7" s="5" t="s">
        <v>27</v>
      </c>
      <c r="B7" s="5" t="s">
        <v>28</v>
      </c>
      <c r="C7" s="5" t="s">
        <v>20</v>
      </c>
      <c r="D7" s="5" t="s">
        <v>29</v>
      </c>
      <c r="E7" s="5" t="s">
        <v>30</v>
      </c>
      <c r="F7" s="5" t="s">
        <v>25</v>
      </c>
      <c r="G7" s="12">
        <v>46058</v>
      </c>
      <c r="H7" s="5">
        <v>78000</v>
      </c>
      <c r="I7" s="5" t="s">
        <v>18</v>
      </c>
      <c r="J7" s="5" t="s">
        <v>180</v>
      </c>
    </row>
    <row r="8" spans="1:13" x14ac:dyDescent="0.45">
      <c r="A8" s="5" t="s">
        <v>31</v>
      </c>
      <c r="B8" s="5" t="s">
        <v>28</v>
      </c>
      <c r="C8" s="5" t="s">
        <v>179</v>
      </c>
      <c r="D8" s="5" t="s">
        <v>29</v>
      </c>
      <c r="E8" s="5" t="s">
        <v>166</v>
      </c>
      <c r="F8" s="5" t="s">
        <v>25</v>
      </c>
      <c r="G8" s="12">
        <v>46096</v>
      </c>
      <c r="H8" s="13">
        <v>45000</v>
      </c>
      <c r="I8" s="5" t="s">
        <v>178</v>
      </c>
      <c r="J8" s="8" t="s">
        <v>177</v>
      </c>
    </row>
    <row r="9" spans="1:13" x14ac:dyDescent="0.45">
      <c r="A9" s="5" t="s">
        <v>32</v>
      </c>
      <c r="B9" s="5" t="s">
        <v>28</v>
      </c>
      <c r="C9" s="8" t="s">
        <v>20</v>
      </c>
      <c r="D9" s="5"/>
      <c r="E9" s="5" t="s">
        <v>13</v>
      </c>
      <c r="F9" s="5" t="s">
        <v>171</v>
      </c>
      <c r="G9" s="5" t="s">
        <v>33</v>
      </c>
      <c r="H9" s="13">
        <v>45000</v>
      </c>
      <c r="I9" s="5" t="s">
        <v>34</v>
      </c>
      <c r="J9" s="8" t="s">
        <v>177</v>
      </c>
    </row>
    <row r="10" spans="1:13" x14ac:dyDescent="0.45">
      <c r="A10" s="5" t="s">
        <v>35</v>
      </c>
      <c r="B10" s="5" t="s">
        <v>36</v>
      </c>
      <c r="C10" s="5" t="s">
        <v>12</v>
      </c>
      <c r="D10" s="5" t="s">
        <v>29</v>
      </c>
      <c r="E10" s="5" t="s">
        <v>166</v>
      </c>
      <c r="F10" s="5" t="s">
        <v>14</v>
      </c>
      <c r="G10" s="12">
        <v>46054</v>
      </c>
      <c r="H10" s="5">
        <v>125000</v>
      </c>
      <c r="I10" s="5" t="s">
        <v>178</v>
      </c>
      <c r="J10" s="8" t="s">
        <v>26</v>
      </c>
    </row>
    <row r="11" spans="1:13" x14ac:dyDescent="0.45">
      <c r="A11" s="5" t="s">
        <v>37</v>
      </c>
      <c r="B11" s="5" t="s">
        <v>159</v>
      </c>
      <c r="C11" s="5" t="s">
        <v>38</v>
      </c>
      <c r="D11" s="5" t="s">
        <v>17</v>
      </c>
      <c r="E11" s="5" t="s">
        <v>39</v>
      </c>
      <c r="F11" s="5" t="s">
        <v>25</v>
      </c>
      <c r="G11" s="12">
        <v>46058</v>
      </c>
      <c r="H11" s="13">
        <v>45000</v>
      </c>
      <c r="I11" s="5" t="s">
        <v>18</v>
      </c>
      <c r="J11" s="5"/>
    </row>
    <row r="12" spans="1:13" x14ac:dyDescent="0.45">
      <c r="A12" s="5" t="s">
        <v>40</v>
      </c>
      <c r="B12" s="5" t="s">
        <v>28</v>
      </c>
      <c r="C12" s="5" t="s">
        <v>12</v>
      </c>
      <c r="D12" s="5">
        <v>9876543210</v>
      </c>
      <c r="E12" s="5" t="s">
        <v>182</v>
      </c>
      <c r="F12" s="5" t="s">
        <v>22</v>
      </c>
      <c r="G12" s="5"/>
      <c r="H12" s="5">
        <v>125000</v>
      </c>
      <c r="I12" s="5" t="s">
        <v>41</v>
      </c>
      <c r="J12" s="5" t="s">
        <v>15</v>
      </c>
    </row>
    <row r="13" spans="1:13" x14ac:dyDescent="0.45">
      <c r="A13" s="5" t="s">
        <v>42</v>
      </c>
      <c r="B13" s="5" t="s">
        <v>28</v>
      </c>
      <c r="C13" s="5" t="s">
        <v>43</v>
      </c>
      <c r="D13" s="5" t="s">
        <v>29</v>
      </c>
      <c r="E13" s="5" t="s">
        <v>167</v>
      </c>
      <c r="F13" s="5" t="s">
        <v>22</v>
      </c>
      <c r="G13" s="12">
        <v>46054</v>
      </c>
      <c r="H13" s="5" t="s">
        <v>44</v>
      </c>
      <c r="I13" s="5" t="s">
        <v>23</v>
      </c>
      <c r="J13" s="8" t="s">
        <v>177</v>
      </c>
    </row>
    <row r="14" spans="1:13" x14ac:dyDescent="0.45">
      <c r="A14" s="5" t="s">
        <v>45</v>
      </c>
      <c r="B14" s="5" t="s">
        <v>36</v>
      </c>
      <c r="C14" s="5" t="s">
        <v>179</v>
      </c>
      <c r="D14" s="5">
        <v>9876543210</v>
      </c>
      <c r="E14" s="5" t="s">
        <v>30</v>
      </c>
      <c r="F14" s="5" t="s">
        <v>22</v>
      </c>
      <c r="G14" s="5"/>
      <c r="H14" s="13">
        <v>45000</v>
      </c>
      <c r="I14" s="5" t="s">
        <v>46</v>
      </c>
      <c r="J14" s="8" t="s">
        <v>26</v>
      </c>
    </row>
    <row r="15" spans="1:13" x14ac:dyDescent="0.45">
      <c r="A15" s="5"/>
      <c r="B15" s="5" t="s">
        <v>47</v>
      </c>
      <c r="C15" s="8" t="s">
        <v>179</v>
      </c>
      <c r="D15" s="5"/>
      <c r="E15" s="5" t="s">
        <v>182</v>
      </c>
      <c r="F15" s="5" t="s">
        <v>172</v>
      </c>
      <c r="G15" s="12">
        <v>46058</v>
      </c>
      <c r="H15" s="5" t="s">
        <v>44</v>
      </c>
      <c r="I15" s="5" t="s">
        <v>18</v>
      </c>
      <c r="J15" s="5"/>
    </row>
    <row r="16" spans="1:13" x14ac:dyDescent="0.45">
      <c r="A16" s="5" t="s">
        <v>48</v>
      </c>
      <c r="B16" s="5" t="s">
        <v>28</v>
      </c>
      <c r="C16" s="5" t="s">
        <v>20</v>
      </c>
      <c r="D16" s="5">
        <v>9123456780</v>
      </c>
      <c r="E16" s="5" t="s">
        <v>166</v>
      </c>
      <c r="F16" s="5" t="s">
        <v>172</v>
      </c>
      <c r="G16" s="12">
        <v>46096</v>
      </c>
      <c r="H16" s="5">
        <v>125000</v>
      </c>
      <c r="I16" s="5" t="s">
        <v>18</v>
      </c>
      <c r="J16" s="5"/>
    </row>
    <row r="17" spans="1:10" x14ac:dyDescent="0.45">
      <c r="A17" s="5" t="s">
        <v>49</v>
      </c>
      <c r="B17" s="5" t="s">
        <v>159</v>
      </c>
      <c r="C17" s="5" t="s">
        <v>179</v>
      </c>
      <c r="D17" s="5">
        <v>9123456780</v>
      </c>
      <c r="E17" s="5" t="s">
        <v>167</v>
      </c>
      <c r="F17" s="5" t="s">
        <v>171</v>
      </c>
      <c r="G17" s="12">
        <v>46058</v>
      </c>
      <c r="H17" s="5">
        <v>78000</v>
      </c>
      <c r="I17" s="5" t="s">
        <v>18</v>
      </c>
      <c r="J17" s="5" t="s">
        <v>180</v>
      </c>
    </row>
    <row r="18" spans="1:10" x14ac:dyDescent="0.45">
      <c r="A18" s="5" t="s">
        <v>50</v>
      </c>
      <c r="B18" s="5" t="s">
        <v>28</v>
      </c>
      <c r="C18" s="5" t="s">
        <v>43</v>
      </c>
      <c r="D18" s="5">
        <v>9876543210</v>
      </c>
      <c r="E18" s="5" t="s">
        <v>30</v>
      </c>
      <c r="F18" s="5" t="s">
        <v>25</v>
      </c>
      <c r="G18" s="10">
        <v>46096</v>
      </c>
      <c r="H18" s="5"/>
      <c r="I18" s="5" t="s">
        <v>34</v>
      </c>
      <c r="J18" s="5" t="s">
        <v>15</v>
      </c>
    </row>
    <row r="19" spans="1:10" x14ac:dyDescent="0.45">
      <c r="A19" s="5" t="s">
        <v>51</v>
      </c>
      <c r="B19" s="5" t="s">
        <v>36</v>
      </c>
      <c r="C19" s="5" t="s">
        <v>20</v>
      </c>
      <c r="D19" s="5" t="s">
        <v>29</v>
      </c>
      <c r="E19" s="5" t="s">
        <v>13</v>
      </c>
      <c r="F19" s="5" t="s">
        <v>170</v>
      </c>
      <c r="G19" s="12">
        <v>46096</v>
      </c>
      <c r="H19" s="5">
        <v>78000</v>
      </c>
      <c r="I19" s="5" t="s">
        <v>23</v>
      </c>
      <c r="J19" s="5" t="s">
        <v>180</v>
      </c>
    </row>
    <row r="20" spans="1:10" x14ac:dyDescent="0.45">
      <c r="A20" s="5" t="s">
        <v>52</v>
      </c>
      <c r="B20" s="5" t="s">
        <v>28</v>
      </c>
      <c r="C20" s="8" t="s">
        <v>179</v>
      </c>
      <c r="D20" s="5"/>
      <c r="E20" s="5" t="s">
        <v>166</v>
      </c>
      <c r="F20" s="5" t="s">
        <v>22</v>
      </c>
      <c r="G20" s="12">
        <v>46058</v>
      </c>
      <c r="H20" s="5">
        <v>25000</v>
      </c>
      <c r="I20" s="5" t="s">
        <v>18</v>
      </c>
      <c r="J20" s="5" t="s">
        <v>15</v>
      </c>
    </row>
    <row r="21" spans="1:10" x14ac:dyDescent="0.45">
      <c r="A21" s="5" t="s">
        <v>53</v>
      </c>
      <c r="B21" s="5" t="s">
        <v>11</v>
      </c>
      <c r="C21" s="5" t="s">
        <v>179</v>
      </c>
      <c r="D21" s="5">
        <v>9123456780</v>
      </c>
      <c r="E21" s="5" t="s">
        <v>30</v>
      </c>
      <c r="F21" s="5" t="s">
        <v>170</v>
      </c>
      <c r="G21" s="12">
        <v>46058</v>
      </c>
      <c r="H21" s="5">
        <v>25000</v>
      </c>
      <c r="I21" s="5" t="s">
        <v>18</v>
      </c>
      <c r="J21" s="5" t="s">
        <v>181</v>
      </c>
    </row>
    <row r="22" spans="1:10" x14ac:dyDescent="0.45">
      <c r="A22" s="5" t="s">
        <v>54</v>
      </c>
      <c r="B22" s="5" t="s">
        <v>11</v>
      </c>
      <c r="C22" s="5" t="s">
        <v>43</v>
      </c>
      <c r="D22" s="5" t="s">
        <v>17</v>
      </c>
      <c r="E22" s="5" t="s">
        <v>30</v>
      </c>
      <c r="F22" s="5" t="s">
        <v>170</v>
      </c>
      <c r="G22" s="5" t="s">
        <v>33</v>
      </c>
      <c r="H22" s="5" t="s">
        <v>44</v>
      </c>
      <c r="I22" s="5" t="s">
        <v>46</v>
      </c>
      <c r="J22" s="5" t="s">
        <v>15</v>
      </c>
    </row>
    <row r="23" spans="1:10" x14ac:dyDescent="0.45">
      <c r="A23" s="5" t="s">
        <v>55</v>
      </c>
      <c r="B23" s="5" t="s">
        <v>47</v>
      </c>
      <c r="C23" s="5" t="s">
        <v>20</v>
      </c>
      <c r="D23" s="5">
        <v>9123456780</v>
      </c>
      <c r="E23" s="5" t="s">
        <v>166</v>
      </c>
      <c r="F23" s="5" t="s">
        <v>170</v>
      </c>
      <c r="G23" s="10">
        <v>46096</v>
      </c>
      <c r="H23" s="5"/>
      <c r="I23" s="5" t="s">
        <v>18</v>
      </c>
      <c r="J23" s="5" t="s">
        <v>180</v>
      </c>
    </row>
    <row r="24" spans="1:10" x14ac:dyDescent="0.45">
      <c r="A24" s="5" t="s">
        <v>56</v>
      </c>
      <c r="B24" s="5" t="s">
        <v>159</v>
      </c>
      <c r="C24" s="8" t="s">
        <v>12</v>
      </c>
      <c r="D24" s="5"/>
      <c r="E24" s="5" t="s">
        <v>167</v>
      </c>
      <c r="F24" s="5" t="s">
        <v>22</v>
      </c>
      <c r="G24" s="10">
        <v>46058</v>
      </c>
      <c r="H24" s="5"/>
      <c r="I24" s="5" t="s">
        <v>46</v>
      </c>
      <c r="J24" s="5" t="s">
        <v>15</v>
      </c>
    </row>
    <row r="25" spans="1:10" x14ac:dyDescent="0.45">
      <c r="A25" s="5" t="s">
        <v>57</v>
      </c>
      <c r="B25" s="5" t="s">
        <v>36</v>
      </c>
      <c r="C25" s="5" t="s">
        <v>12</v>
      </c>
      <c r="D25" s="5" t="s">
        <v>29</v>
      </c>
      <c r="E25" s="5" t="s">
        <v>13</v>
      </c>
      <c r="F25" s="5" t="s">
        <v>171</v>
      </c>
      <c r="G25" s="12">
        <v>46058</v>
      </c>
      <c r="H25" s="5">
        <v>78000</v>
      </c>
      <c r="I25" s="5" t="s">
        <v>46</v>
      </c>
      <c r="J25" s="8" t="s">
        <v>177</v>
      </c>
    </row>
    <row r="26" spans="1:10" x14ac:dyDescent="0.45">
      <c r="A26" s="5" t="s">
        <v>58</v>
      </c>
      <c r="B26" s="5" t="s">
        <v>11</v>
      </c>
      <c r="C26" s="5" t="s">
        <v>179</v>
      </c>
      <c r="D26" s="5">
        <v>9876543210</v>
      </c>
      <c r="E26" s="5" t="s">
        <v>30</v>
      </c>
      <c r="F26" s="5" t="s">
        <v>170</v>
      </c>
      <c r="G26" s="12">
        <v>46054</v>
      </c>
      <c r="H26" s="5">
        <v>125000</v>
      </c>
      <c r="I26" s="5" t="s">
        <v>18</v>
      </c>
      <c r="J26" s="8" t="s">
        <v>177</v>
      </c>
    </row>
    <row r="27" spans="1:10" x14ac:dyDescent="0.45">
      <c r="A27" s="5" t="s">
        <v>59</v>
      </c>
      <c r="B27" s="5" t="s">
        <v>159</v>
      </c>
      <c r="C27" s="8" t="s">
        <v>179</v>
      </c>
      <c r="D27" s="5"/>
      <c r="E27" s="5" t="s">
        <v>30</v>
      </c>
      <c r="F27" s="5" t="s">
        <v>171</v>
      </c>
      <c r="G27" s="12">
        <v>46058</v>
      </c>
      <c r="H27" s="5">
        <v>25000</v>
      </c>
      <c r="I27" s="5" t="s">
        <v>23</v>
      </c>
      <c r="J27" s="5"/>
    </row>
    <row r="28" spans="1:10" x14ac:dyDescent="0.45">
      <c r="A28" s="5" t="s">
        <v>60</v>
      </c>
      <c r="B28" s="5" t="s">
        <v>159</v>
      </c>
      <c r="C28" s="5" t="s">
        <v>38</v>
      </c>
      <c r="D28" s="5" t="s">
        <v>17</v>
      </c>
      <c r="E28" s="5" t="s">
        <v>167</v>
      </c>
      <c r="F28" s="5" t="s">
        <v>22</v>
      </c>
      <c r="G28" s="8" t="s">
        <v>33</v>
      </c>
      <c r="H28" s="5"/>
      <c r="I28" s="5" t="s">
        <v>18</v>
      </c>
      <c r="J28" s="5" t="s">
        <v>181</v>
      </c>
    </row>
    <row r="29" spans="1:10" x14ac:dyDescent="0.45">
      <c r="A29" s="5" t="s">
        <v>61</v>
      </c>
      <c r="B29" s="5" t="s">
        <v>47</v>
      </c>
      <c r="C29" s="5" t="s">
        <v>38</v>
      </c>
      <c r="D29" s="5">
        <v>9123456780</v>
      </c>
      <c r="E29" s="5" t="s">
        <v>13</v>
      </c>
      <c r="F29" s="5" t="s">
        <v>22</v>
      </c>
      <c r="G29" s="12">
        <v>46058</v>
      </c>
      <c r="H29" s="5" t="s">
        <v>44</v>
      </c>
      <c r="I29" s="5" t="s">
        <v>178</v>
      </c>
      <c r="J29" s="5" t="s">
        <v>15</v>
      </c>
    </row>
    <row r="30" spans="1:10" x14ac:dyDescent="0.45">
      <c r="A30" s="5"/>
      <c r="B30" s="5" t="s">
        <v>159</v>
      </c>
      <c r="C30" s="5" t="s">
        <v>20</v>
      </c>
      <c r="D30" s="5">
        <v>9876543210</v>
      </c>
      <c r="E30" s="5" t="s">
        <v>166</v>
      </c>
      <c r="F30" s="5" t="s">
        <v>170</v>
      </c>
      <c r="G30" s="5" t="s">
        <v>33</v>
      </c>
      <c r="H30" s="5" t="s">
        <v>44</v>
      </c>
      <c r="I30" s="5" t="s">
        <v>178</v>
      </c>
      <c r="J30" s="5" t="s">
        <v>180</v>
      </c>
    </row>
    <row r="31" spans="1:10" x14ac:dyDescent="0.45">
      <c r="A31" s="5" t="s">
        <v>62</v>
      </c>
      <c r="B31" s="5" t="s">
        <v>47</v>
      </c>
      <c r="C31" s="5" t="s">
        <v>12</v>
      </c>
      <c r="D31" s="5">
        <v>9123456780</v>
      </c>
      <c r="E31" s="5" t="s">
        <v>30</v>
      </c>
      <c r="F31" s="8" t="s">
        <v>171</v>
      </c>
      <c r="G31" s="5"/>
      <c r="H31" s="5" t="s">
        <v>44</v>
      </c>
      <c r="I31" s="5" t="s">
        <v>23</v>
      </c>
      <c r="J31" s="5" t="s">
        <v>181</v>
      </c>
    </row>
    <row r="32" spans="1:10" x14ac:dyDescent="0.45">
      <c r="A32" s="5" t="s">
        <v>63</v>
      </c>
      <c r="B32" s="5" t="s">
        <v>11</v>
      </c>
      <c r="C32" s="5" t="s">
        <v>43</v>
      </c>
      <c r="D32" s="5" t="s">
        <v>17</v>
      </c>
      <c r="E32" s="5" t="s">
        <v>167</v>
      </c>
      <c r="F32" s="5" t="s">
        <v>170</v>
      </c>
      <c r="G32" s="12">
        <v>46054</v>
      </c>
      <c r="H32" s="5">
        <v>78000</v>
      </c>
      <c r="I32" s="5" t="s">
        <v>23</v>
      </c>
      <c r="J32" s="5"/>
    </row>
    <row r="33" spans="1:10" x14ac:dyDescent="0.45">
      <c r="A33" s="5" t="s">
        <v>64</v>
      </c>
      <c r="B33" s="5" t="s">
        <v>28</v>
      </c>
      <c r="C33" s="5" t="s">
        <v>12</v>
      </c>
      <c r="D33" s="5">
        <v>9123456780</v>
      </c>
      <c r="E33" s="5" t="s">
        <v>167</v>
      </c>
      <c r="F33" s="5" t="s">
        <v>14</v>
      </c>
      <c r="G33" s="12">
        <v>46054</v>
      </c>
      <c r="H33" s="5">
        <v>125000</v>
      </c>
      <c r="I33" s="5" t="s">
        <v>178</v>
      </c>
      <c r="J33" s="8" t="s">
        <v>26</v>
      </c>
    </row>
    <row r="34" spans="1:10" x14ac:dyDescent="0.45">
      <c r="A34" s="5" t="s">
        <v>65</v>
      </c>
      <c r="B34" s="5" t="s">
        <v>159</v>
      </c>
      <c r="C34" s="5" t="s">
        <v>12</v>
      </c>
      <c r="D34" s="5">
        <v>9876543210</v>
      </c>
      <c r="E34" s="5" t="s">
        <v>39</v>
      </c>
      <c r="F34" s="8" t="s">
        <v>14</v>
      </c>
      <c r="G34" s="5"/>
      <c r="H34" s="13">
        <v>45000</v>
      </c>
      <c r="I34" s="5" t="s">
        <v>18</v>
      </c>
      <c r="J34" s="5"/>
    </row>
    <row r="35" spans="1:10" x14ac:dyDescent="0.45">
      <c r="A35" s="5" t="s">
        <v>66</v>
      </c>
      <c r="B35" s="5" t="s">
        <v>159</v>
      </c>
      <c r="C35" s="8" t="s">
        <v>12</v>
      </c>
      <c r="D35" s="5"/>
      <c r="E35" s="5" t="s">
        <v>166</v>
      </c>
      <c r="F35" s="5" t="s">
        <v>25</v>
      </c>
      <c r="G35" s="12">
        <v>46096</v>
      </c>
      <c r="H35" s="5">
        <v>125000</v>
      </c>
      <c r="I35" s="5" t="s">
        <v>23</v>
      </c>
      <c r="J35" s="5" t="s">
        <v>15</v>
      </c>
    </row>
    <row r="36" spans="1:10" x14ac:dyDescent="0.45">
      <c r="A36" s="5" t="s">
        <v>67</v>
      </c>
      <c r="B36" s="5" t="s">
        <v>159</v>
      </c>
      <c r="C36" s="8" t="s">
        <v>43</v>
      </c>
      <c r="D36" s="5"/>
      <c r="E36" s="5" t="s">
        <v>166</v>
      </c>
      <c r="F36" s="5" t="s">
        <v>170</v>
      </c>
      <c r="G36" s="12">
        <v>46054</v>
      </c>
      <c r="H36" s="5">
        <v>78000</v>
      </c>
      <c r="I36" s="5" t="s">
        <v>23</v>
      </c>
      <c r="J36" s="5" t="s">
        <v>15</v>
      </c>
    </row>
    <row r="37" spans="1:10" x14ac:dyDescent="0.45">
      <c r="A37" s="5" t="s">
        <v>68</v>
      </c>
      <c r="B37" s="5" t="s">
        <v>11</v>
      </c>
      <c r="C37" s="8" t="s">
        <v>179</v>
      </c>
      <c r="D37" s="5"/>
      <c r="E37" s="5" t="s">
        <v>166</v>
      </c>
      <c r="F37" s="5" t="s">
        <v>22</v>
      </c>
      <c r="G37" s="12">
        <v>46058</v>
      </c>
      <c r="H37" s="5" t="s">
        <v>44</v>
      </c>
      <c r="I37" s="5" t="s">
        <v>41</v>
      </c>
      <c r="J37" s="5" t="s">
        <v>180</v>
      </c>
    </row>
    <row r="38" spans="1:10" x14ac:dyDescent="0.45">
      <c r="A38" s="5" t="s">
        <v>69</v>
      </c>
      <c r="B38" s="5" t="s">
        <v>28</v>
      </c>
      <c r="C38" s="5" t="s">
        <v>43</v>
      </c>
      <c r="D38" s="5" t="s">
        <v>17</v>
      </c>
      <c r="E38" s="5" t="s">
        <v>39</v>
      </c>
      <c r="F38" s="8" t="s">
        <v>14</v>
      </c>
      <c r="G38" s="5"/>
      <c r="H38" s="5">
        <v>78000</v>
      </c>
      <c r="I38" s="5" t="s">
        <v>18</v>
      </c>
      <c r="J38" s="5" t="s">
        <v>180</v>
      </c>
    </row>
    <row r="39" spans="1:10" x14ac:dyDescent="0.45">
      <c r="A39" s="5" t="s">
        <v>70</v>
      </c>
      <c r="B39" s="5" t="s">
        <v>11</v>
      </c>
      <c r="C39" s="8" t="s">
        <v>179</v>
      </c>
      <c r="D39" s="5"/>
      <c r="E39" s="5" t="s">
        <v>182</v>
      </c>
      <c r="F39" s="5" t="s">
        <v>172</v>
      </c>
      <c r="G39" s="5"/>
      <c r="H39" s="5">
        <v>78000</v>
      </c>
      <c r="I39" s="5" t="s">
        <v>46</v>
      </c>
      <c r="J39" s="5" t="s">
        <v>15</v>
      </c>
    </row>
    <row r="40" spans="1:10" x14ac:dyDescent="0.45">
      <c r="A40" s="5" t="s">
        <v>71</v>
      </c>
      <c r="B40" s="5" t="s">
        <v>47</v>
      </c>
      <c r="C40" s="8" t="s">
        <v>179</v>
      </c>
      <c r="D40" s="5"/>
      <c r="E40" s="5" t="s">
        <v>39</v>
      </c>
      <c r="F40" s="8" t="s">
        <v>14</v>
      </c>
      <c r="G40" s="5"/>
      <c r="H40" s="5">
        <v>125000</v>
      </c>
      <c r="I40" s="5" t="s">
        <v>178</v>
      </c>
      <c r="J40" s="8" t="s">
        <v>26</v>
      </c>
    </row>
    <row r="41" spans="1:10" x14ac:dyDescent="0.45">
      <c r="A41" s="5" t="s">
        <v>72</v>
      </c>
      <c r="B41" s="5" t="s">
        <v>28</v>
      </c>
      <c r="C41" s="5" t="s">
        <v>12</v>
      </c>
      <c r="D41" s="5">
        <v>9876543210</v>
      </c>
      <c r="E41" s="5" t="s">
        <v>167</v>
      </c>
      <c r="F41" s="8" t="s">
        <v>14</v>
      </c>
      <c r="G41" s="5"/>
      <c r="H41" s="5">
        <v>78000</v>
      </c>
      <c r="I41" s="5" t="s">
        <v>46</v>
      </c>
      <c r="J41" s="8" t="s">
        <v>26</v>
      </c>
    </row>
    <row r="42" spans="1:10" x14ac:dyDescent="0.45">
      <c r="A42" s="5" t="s">
        <v>73</v>
      </c>
      <c r="B42" s="5" t="s">
        <v>36</v>
      </c>
      <c r="C42" s="5" t="s">
        <v>43</v>
      </c>
      <c r="D42" s="5">
        <v>9123456780</v>
      </c>
      <c r="E42" s="5" t="s">
        <v>167</v>
      </c>
      <c r="F42" s="5" t="s">
        <v>25</v>
      </c>
      <c r="G42" s="10">
        <v>46096</v>
      </c>
      <c r="H42" s="5"/>
      <c r="I42" s="5" t="s">
        <v>41</v>
      </c>
      <c r="J42" s="5" t="s">
        <v>180</v>
      </c>
    </row>
    <row r="43" spans="1:10" x14ac:dyDescent="0.45">
      <c r="A43" s="5" t="s">
        <v>74</v>
      </c>
      <c r="B43" s="5" t="s">
        <v>159</v>
      </c>
      <c r="C43" s="5" t="s">
        <v>38</v>
      </c>
      <c r="D43" s="5" t="s">
        <v>29</v>
      </c>
      <c r="E43" s="5" t="s">
        <v>13</v>
      </c>
      <c r="F43" s="5" t="s">
        <v>171</v>
      </c>
      <c r="G43" s="12">
        <v>46054</v>
      </c>
      <c r="H43" s="5">
        <v>78000</v>
      </c>
      <c r="I43" s="5" t="s">
        <v>41</v>
      </c>
      <c r="J43" s="5" t="s">
        <v>15</v>
      </c>
    </row>
    <row r="44" spans="1:10" x14ac:dyDescent="0.45">
      <c r="A44" s="5" t="s">
        <v>75</v>
      </c>
      <c r="B44" s="5" t="s">
        <v>11</v>
      </c>
      <c r="C44" s="5" t="s">
        <v>20</v>
      </c>
      <c r="D44" s="5" t="s">
        <v>17</v>
      </c>
      <c r="E44" s="5" t="s">
        <v>182</v>
      </c>
      <c r="F44" s="5" t="s">
        <v>172</v>
      </c>
      <c r="G44" s="12">
        <v>46058</v>
      </c>
      <c r="H44" s="5">
        <v>25000</v>
      </c>
      <c r="I44" s="5" t="s">
        <v>41</v>
      </c>
      <c r="J44" s="8" t="s">
        <v>177</v>
      </c>
    </row>
    <row r="45" spans="1:10" x14ac:dyDescent="0.45">
      <c r="A45" s="5"/>
      <c r="B45" s="5" t="s">
        <v>36</v>
      </c>
      <c r="C45" s="5" t="s">
        <v>12</v>
      </c>
      <c r="D45" s="5">
        <v>9876543210</v>
      </c>
      <c r="E45" s="5" t="s">
        <v>13</v>
      </c>
      <c r="F45" s="5" t="s">
        <v>22</v>
      </c>
      <c r="G45" s="12">
        <v>46054</v>
      </c>
      <c r="H45" s="5">
        <v>25000</v>
      </c>
      <c r="I45" s="5" t="s">
        <v>23</v>
      </c>
      <c r="J45" s="5" t="s">
        <v>15</v>
      </c>
    </row>
    <row r="46" spans="1:10" x14ac:dyDescent="0.45">
      <c r="A46" s="5" t="s">
        <v>76</v>
      </c>
      <c r="B46" s="5" t="s">
        <v>159</v>
      </c>
      <c r="C46" s="5" t="s">
        <v>20</v>
      </c>
      <c r="D46" s="5" t="s">
        <v>29</v>
      </c>
      <c r="E46" s="5" t="s">
        <v>166</v>
      </c>
      <c r="F46" s="5" t="s">
        <v>22</v>
      </c>
      <c r="G46" s="12">
        <v>46096</v>
      </c>
      <c r="H46" s="5">
        <v>25000</v>
      </c>
      <c r="I46" s="5" t="s">
        <v>23</v>
      </c>
      <c r="J46" s="5"/>
    </row>
    <row r="47" spans="1:10" x14ac:dyDescent="0.45">
      <c r="A47" s="5" t="s">
        <v>77</v>
      </c>
      <c r="B47" s="5" t="s">
        <v>36</v>
      </c>
      <c r="C47" s="5" t="s">
        <v>43</v>
      </c>
      <c r="D47" s="5" t="s">
        <v>29</v>
      </c>
      <c r="E47" s="5" t="s">
        <v>30</v>
      </c>
      <c r="F47" s="5" t="s">
        <v>172</v>
      </c>
      <c r="G47" s="5" t="s">
        <v>33</v>
      </c>
      <c r="H47" s="5">
        <v>125000</v>
      </c>
      <c r="I47" s="5" t="s">
        <v>46</v>
      </c>
      <c r="J47" s="8" t="s">
        <v>177</v>
      </c>
    </row>
    <row r="48" spans="1:10" x14ac:dyDescent="0.45">
      <c r="A48" s="5" t="s">
        <v>78</v>
      </c>
      <c r="B48" s="5" t="s">
        <v>36</v>
      </c>
      <c r="C48" s="5" t="s">
        <v>38</v>
      </c>
      <c r="D48" s="5">
        <v>9123456780</v>
      </c>
      <c r="E48" s="5" t="s">
        <v>167</v>
      </c>
      <c r="F48" s="5" t="s">
        <v>172</v>
      </c>
      <c r="G48" s="10">
        <v>46096</v>
      </c>
      <c r="H48" s="5"/>
      <c r="I48" s="5" t="s">
        <v>23</v>
      </c>
      <c r="J48" s="8" t="s">
        <v>177</v>
      </c>
    </row>
    <row r="49" spans="1:10" x14ac:dyDescent="0.45">
      <c r="A49" s="5" t="s">
        <v>79</v>
      </c>
      <c r="B49" s="5" t="s">
        <v>28</v>
      </c>
      <c r="C49" s="5" t="s">
        <v>38</v>
      </c>
      <c r="D49" s="5">
        <v>9123456780</v>
      </c>
      <c r="E49" s="5" t="s">
        <v>30</v>
      </c>
      <c r="F49" s="5" t="s">
        <v>14</v>
      </c>
      <c r="G49" s="10">
        <v>46058</v>
      </c>
      <c r="H49" s="5"/>
      <c r="I49" s="5" t="s">
        <v>178</v>
      </c>
      <c r="J49" s="5" t="s">
        <v>15</v>
      </c>
    </row>
    <row r="50" spans="1:10" x14ac:dyDescent="0.45">
      <c r="A50" s="5" t="s">
        <v>80</v>
      </c>
      <c r="B50" s="5" t="s">
        <v>36</v>
      </c>
      <c r="C50" s="5" t="s">
        <v>12</v>
      </c>
      <c r="D50" s="5" t="s">
        <v>17</v>
      </c>
      <c r="E50" s="5" t="s">
        <v>39</v>
      </c>
      <c r="F50" s="5" t="s">
        <v>170</v>
      </c>
      <c r="G50" s="12">
        <v>46096</v>
      </c>
      <c r="H50" s="5" t="s">
        <v>44</v>
      </c>
      <c r="I50" s="8" t="s">
        <v>178</v>
      </c>
      <c r="J50" s="5"/>
    </row>
    <row r="51" spans="1:10" x14ac:dyDescent="0.45">
      <c r="A51" s="5" t="s">
        <v>81</v>
      </c>
      <c r="B51" s="5" t="s">
        <v>47</v>
      </c>
      <c r="C51" s="5" t="s">
        <v>179</v>
      </c>
      <c r="D51" s="5" t="s">
        <v>17</v>
      </c>
      <c r="E51" s="5" t="s">
        <v>30</v>
      </c>
      <c r="F51" s="8" t="s">
        <v>171</v>
      </c>
      <c r="G51" s="5"/>
      <c r="H51" s="5">
        <v>125000</v>
      </c>
      <c r="I51" s="5" t="s">
        <v>46</v>
      </c>
      <c r="J51" s="5" t="s">
        <v>181</v>
      </c>
    </row>
    <row r="52" spans="1:10" x14ac:dyDescent="0.45">
      <c r="A52" s="5" t="s">
        <v>82</v>
      </c>
      <c r="B52" s="5" t="s">
        <v>36</v>
      </c>
      <c r="C52" s="5" t="s">
        <v>12</v>
      </c>
      <c r="D52" s="5" t="s">
        <v>17</v>
      </c>
      <c r="E52" s="5" t="s">
        <v>30</v>
      </c>
      <c r="F52" s="8" t="s">
        <v>171</v>
      </c>
      <c r="G52" s="5"/>
      <c r="H52" s="5"/>
      <c r="I52" s="8" t="s">
        <v>34</v>
      </c>
      <c r="J52" s="5"/>
    </row>
    <row r="53" spans="1:10" x14ac:dyDescent="0.45">
      <c r="A53" s="5" t="s">
        <v>83</v>
      </c>
      <c r="B53" s="5" t="s">
        <v>36</v>
      </c>
      <c r="C53" s="8" t="s">
        <v>20</v>
      </c>
      <c r="D53" s="5"/>
      <c r="E53" s="5" t="s">
        <v>39</v>
      </c>
      <c r="F53" s="8" t="s">
        <v>14</v>
      </c>
      <c r="G53" s="5"/>
      <c r="H53" s="5" t="s">
        <v>44</v>
      </c>
      <c r="I53" s="5" t="s">
        <v>178</v>
      </c>
      <c r="J53" s="5" t="s">
        <v>180</v>
      </c>
    </row>
    <row r="54" spans="1:10" x14ac:dyDescent="0.45">
      <c r="A54" s="5" t="s">
        <v>84</v>
      </c>
      <c r="B54" s="5" t="s">
        <v>36</v>
      </c>
      <c r="C54" s="5" t="s">
        <v>12</v>
      </c>
      <c r="D54" s="5">
        <v>9123456780</v>
      </c>
      <c r="E54" s="5" t="s">
        <v>182</v>
      </c>
      <c r="F54" s="5" t="s">
        <v>172</v>
      </c>
      <c r="G54" s="12">
        <v>46096</v>
      </c>
      <c r="H54" s="5">
        <v>78000</v>
      </c>
      <c r="I54" s="5" t="s">
        <v>18</v>
      </c>
      <c r="J54" s="5" t="s">
        <v>180</v>
      </c>
    </row>
    <row r="55" spans="1:10" x14ac:dyDescent="0.45">
      <c r="A55" s="5" t="s">
        <v>85</v>
      </c>
      <c r="B55" s="5" t="s">
        <v>11</v>
      </c>
      <c r="C55" s="5" t="s">
        <v>179</v>
      </c>
      <c r="D55" s="5" t="s">
        <v>17</v>
      </c>
      <c r="E55" s="5" t="s">
        <v>167</v>
      </c>
      <c r="F55" s="5" t="s">
        <v>172</v>
      </c>
      <c r="G55" s="5"/>
      <c r="H55" s="5">
        <v>125000</v>
      </c>
      <c r="I55" s="5" t="s">
        <v>18</v>
      </c>
      <c r="J55" s="5" t="s">
        <v>15</v>
      </c>
    </row>
    <row r="56" spans="1:10" x14ac:dyDescent="0.45">
      <c r="A56" s="5" t="s">
        <v>86</v>
      </c>
      <c r="B56" s="5" t="s">
        <v>36</v>
      </c>
      <c r="C56" s="5" t="s">
        <v>12</v>
      </c>
      <c r="D56" s="5" t="s">
        <v>29</v>
      </c>
      <c r="E56" s="5" t="s">
        <v>13</v>
      </c>
      <c r="F56" s="5" t="s">
        <v>170</v>
      </c>
      <c r="G56" s="12">
        <v>46054</v>
      </c>
      <c r="H56" s="5">
        <v>125000</v>
      </c>
      <c r="I56" s="5" t="s">
        <v>23</v>
      </c>
      <c r="J56" s="8" t="s">
        <v>26</v>
      </c>
    </row>
    <row r="57" spans="1:10" x14ac:dyDescent="0.45">
      <c r="A57" s="5" t="s">
        <v>87</v>
      </c>
      <c r="B57" s="5" t="s">
        <v>47</v>
      </c>
      <c r="C57" s="5" t="s">
        <v>38</v>
      </c>
      <c r="D57" s="5" t="s">
        <v>17</v>
      </c>
      <c r="E57" s="5" t="s">
        <v>13</v>
      </c>
      <c r="F57" s="5" t="s">
        <v>172</v>
      </c>
      <c r="G57" s="5"/>
      <c r="H57" s="5"/>
      <c r="I57" s="5" t="s">
        <v>178</v>
      </c>
      <c r="J57" s="5" t="s">
        <v>180</v>
      </c>
    </row>
    <row r="58" spans="1:10" x14ac:dyDescent="0.45">
      <c r="A58" s="5" t="s">
        <v>88</v>
      </c>
      <c r="B58" s="5" t="s">
        <v>36</v>
      </c>
      <c r="C58" s="8" t="s">
        <v>43</v>
      </c>
      <c r="D58" s="5"/>
      <c r="E58" s="5" t="s">
        <v>167</v>
      </c>
      <c r="F58" s="5" t="s">
        <v>22</v>
      </c>
      <c r="G58" s="5"/>
      <c r="H58" s="5" t="s">
        <v>44</v>
      </c>
      <c r="I58" s="5" t="s">
        <v>178</v>
      </c>
      <c r="J58" s="8" t="s">
        <v>26</v>
      </c>
    </row>
    <row r="59" spans="1:10" x14ac:dyDescent="0.45">
      <c r="A59" s="5" t="s">
        <v>89</v>
      </c>
      <c r="B59" s="5" t="s">
        <v>28</v>
      </c>
      <c r="C59" s="8" t="s">
        <v>20</v>
      </c>
      <c r="D59" s="5"/>
      <c r="E59" s="5" t="s">
        <v>167</v>
      </c>
      <c r="F59" s="5" t="s">
        <v>22</v>
      </c>
      <c r="G59" s="5" t="s">
        <v>33</v>
      </c>
      <c r="H59" s="13">
        <v>45000</v>
      </c>
      <c r="I59" s="5" t="s">
        <v>18</v>
      </c>
      <c r="J59" s="5" t="s">
        <v>181</v>
      </c>
    </row>
    <row r="60" spans="1:10" x14ac:dyDescent="0.45">
      <c r="A60" s="5"/>
      <c r="B60" s="5" t="s">
        <v>11</v>
      </c>
      <c r="C60" s="8" t="s">
        <v>179</v>
      </c>
      <c r="D60" s="5"/>
      <c r="E60" s="5" t="s">
        <v>30</v>
      </c>
      <c r="F60" s="5" t="s">
        <v>172</v>
      </c>
      <c r="G60" s="12">
        <v>46096</v>
      </c>
      <c r="H60" s="5">
        <v>25000</v>
      </c>
      <c r="I60" s="5" t="s">
        <v>41</v>
      </c>
      <c r="J60" s="5" t="s">
        <v>180</v>
      </c>
    </row>
    <row r="61" spans="1:10" x14ac:dyDescent="0.45">
      <c r="A61" s="5" t="s">
        <v>90</v>
      </c>
      <c r="B61" s="5" t="s">
        <v>47</v>
      </c>
      <c r="C61" s="8" t="s">
        <v>43</v>
      </c>
      <c r="D61" s="5"/>
      <c r="E61" s="5" t="s">
        <v>30</v>
      </c>
      <c r="F61" s="5" t="s">
        <v>170</v>
      </c>
      <c r="G61" s="12">
        <v>46054</v>
      </c>
      <c r="H61" s="5" t="s">
        <v>44</v>
      </c>
      <c r="I61" s="8" t="s">
        <v>41</v>
      </c>
      <c r="J61" s="5"/>
    </row>
    <row r="62" spans="1:10" x14ac:dyDescent="0.45">
      <c r="A62" s="5" t="s">
        <v>91</v>
      </c>
      <c r="B62" s="5" t="s">
        <v>28</v>
      </c>
      <c r="C62" s="5" t="s">
        <v>20</v>
      </c>
      <c r="D62" s="5">
        <v>9123456780</v>
      </c>
      <c r="E62" s="5" t="s">
        <v>182</v>
      </c>
      <c r="F62" s="5" t="s">
        <v>14</v>
      </c>
      <c r="G62" s="12">
        <v>46058</v>
      </c>
      <c r="H62" s="5">
        <v>78000</v>
      </c>
      <c r="I62" s="5" t="s">
        <v>41</v>
      </c>
      <c r="J62" s="8" t="s">
        <v>177</v>
      </c>
    </row>
    <row r="63" spans="1:10" x14ac:dyDescent="0.45">
      <c r="A63" s="5" t="s">
        <v>92</v>
      </c>
      <c r="B63" s="5" t="s">
        <v>36</v>
      </c>
      <c r="C63" s="5" t="s">
        <v>179</v>
      </c>
      <c r="D63" s="5">
        <v>9876543210</v>
      </c>
      <c r="E63" s="5" t="s">
        <v>166</v>
      </c>
      <c r="F63" s="5" t="s">
        <v>172</v>
      </c>
      <c r="G63" s="10">
        <v>46058</v>
      </c>
      <c r="H63" s="5"/>
      <c r="I63" s="5" t="s">
        <v>23</v>
      </c>
      <c r="J63" s="5" t="s">
        <v>180</v>
      </c>
    </row>
    <row r="64" spans="1:10" x14ac:dyDescent="0.45">
      <c r="A64" s="5" t="s">
        <v>93</v>
      </c>
      <c r="B64" s="5" t="s">
        <v>36</v>
      </c>
      <c r="C64" s="8" t="s">
        <v>20</v>
      </c>
      <c r="D64" s="5"/>
      <c r="E64" s="5" t="s">
        <v>167</v>
      </c>
      <c r="F64" s="5" t="s">
        <v>172</v>
      </c>
      <c r="G64" s="5"/>
      <c r="H64" s="5">
        <v>125000</v>
      </c>
      <c r="I64" s="5" t="s">
        <v>34</v>
      </c>
      <c r="J64" s="5" t="s">
        <v>180</v>
      </c>
    </row>
    <row r="65" spans="1:10" x14ac:dyDescent="0.45">
      <c r="A65" s="5" t="s">
        <v>94</v>
      </c>
      <c r="B65" s="5" t="s">
        <v>47</v>
      </c>
      <c r="C65" s="5" t="s">
        <v>179</v>
      </c>
      <c r="D65" s="5">
        <v>9123456780</v>
      </c>
      <c r="E65" s="5" t="s">
        <v>167</v>
      </c>
      <c r="F65" s="5" t="s">
        <v>172</v>
      </c>
      <c r="G65" s="10">
        <v>46058</v>
      </c>
      <c r="H65" s="5"/>
      <c r="I65" s="5" t="s">
        <v>18</v>
      </c>
      <c r="J65" s="5" t="s">
        <v>180</v>
      </c>
    </row>
    <row r="66" spans="1:10" x14ac:dyDescent="0.45">
      <c r="A66" s="5" t="s">
        <v>95</v>
      </c>
      <c r="B66" s="5" t="s">
        <v>11</v>
      </c>
      <c r="C66" s="5" t="s">
        <v>12</v>
      </c>
      <c r="D66" s="5">
        <v>9876543210</v>
      </c>
      <c r="E66" s="5" t="s">
        <v>13</v>
      </c>
      <c r="F66" s="5" t="s">
        <v>172</v>
      </c>
      <c r="G66" s="12">
        <v>46096</v>
      </c>
      <c r="H66" s="13">
        <v>45000</v>
      </c>
      <c r="I66" s="5" t="s">
        <v>46</v>
      </c>
      <c r="J66" s="5" t="s">
        <v>181</v>
      </c>
    </row>
    <row r="67" spans="1:10" x14ac:dyDescent="0.45">
      <c r="A67" s="5" t="s">
        <v>96</v>
      </c>
      <c r="B67" s="5" t="s">
        <v>11</v>
      </c>
      <c r="C67" s="8" t="s">
        <v>20</v>
      </c>
      <c r="D67" s="5"/>
      <c r="E67" s="5" t="s">
        <v>182</v>
      </c>
      <c r="F67" s="5" t="s">
        <v>171</v>
      </c>
      <c r="G67" s="5" t="s">
        <v>33</v>
      </c>
      <c r="H67" s="5">
        <v>78000</v>
      </c>
      <c r="I67" s="5" t="s">
        <v>178</v>
      </c>
      <c r="J67" s="8" t="s">
        <v>26</v>
      </c>
    </row>
    <row r="68" spans="1:10" x14ac:dyDescent="0.45">
      <c r="A68" s="5" t="s">
        <v>97</v>
      </c>
      <c r="B68" s="5" t="s">
        <v>28</v>
      </c>
      <c r="C68" s="5" t="s">
        <v>20</v>
      </c>
      <c r="D68" s="5" t="s">
        <v>17</v>
      </c>
      <c r="E68" s="5" t="s">
        <v>13</v>
      </c>
      <c r="F68" s="5" t="s">
        <v>172</v>
      </c>
      <c r="G68" s="12">
        <v>46058</v>
      </c>
      <c r="H68" s="5">
        <v>78000</v>
      </c>
      <c r="I68" s="5" t="s">
        <v>178</v>
      </c>
      <c r="J68" s="8" t="s">
        <v>177</v>
      </c>
    </row>
    <row r="69" spans="1:10" x14ac:dyDescent="0.45">
      <c r="A69" s="5" t="s">
        <v>98</v>
      </c>
      <c r="B69" s="5" t="s">
        <v>11</v>
      </c>
      <c r="C69" s="8" t="s">
        <v>20</v>
      </c>
      <c r="D69" s="5"/>
      <c r="E69" s="5" t="s">
        <v>167</v>
      </c>
      <c r="F69" s="5" t="s">
        <v>171</v>
      </c>
      <c r="G69" s="5" t="s">
        <v>33</v>
      </c>
      <c r="H69" s="13">
        <v>45000</v>
      </c>
      <c r="I69" s="5" t="s">
        <v>23</v>
      </c>
      <c r="J69" s="5" t="s">
        <v>180</v>
      </c>
    </row>
    <row r="70" spans="1:10" x14ac:dyDescent="0.45">
      <c r="A70" s="5" t="s">
        <v>99</v>
      </c>
      <c r="B70" s="5" t="s">
        <v>11</v>
      </c>
      <c r="C70" s="5" t="s">
        <v>179</v>
      </c>
      <c r="D70" s="5" t="s">
        <v>29</v>
      </c>
      <c r="E70" s="5" t="s">
        <v>167</v>
      </c>
      <c r="F70" s="5" t="s">
        <v>25</v>
      </c>
      <c r="G70" s="12">
        <v>46054</v>
      </c>
      <c r="H70" s="5">
        <v>125000</v>
      </c>
      <c r="I70" s="5" t="s">
        <v>23</v>
      </c>
      <c r="J70" s="8" t="s">
        <v>26</v>
      </c>
    </row>
    <row r="71" spans="1:10" x14ac:dyDescent="0.45">
      <c r="A71" s="5" t="s">
        <v>100</v>
      </c>
      <c r="B71" s="5" t="s">
        <v>28</v>
      </c>
      <c r="C71" s="5" t="s">
        <v>20</v>
      </c>
      <c r="D71" s="5">
        <v>9876543210</v>
      </c>
      <c r="E71" s="5" t="s">
        <v>39</v>
      </c>
      <c r="F71" s="5" t="s">
        <v>172</v>
      </c>
      <c r="G71" s="5"/>
      <c r="H71" s="5">
        <v>25000</v>
      </c>
      <c r="I71" s="5" t="s">
        <v>178</v>
      </c>
      <c r="J71" s="8" t="s">
        <v>26</v>
      </c>
    </row>
    <row r="72" spans="1:10" x14ac:dyDescent="0.45">
      <c r="A72" s="5" t="s">
        <v>101</v>
      </c>
      <c r="B72" s="5" t="s">
        <v>28</v>
      </c>
      <c r="C72" s="5" t="s">
        <v>179</v>
      </c>
      <c r="D72" s="5" t="s">
        <v>17</v>
      </c>
      <c r="E72" s="5" t="s">
        <v>166</v>
      </c>
      <c r="F72" s="8" t="s">
        <v>14</v>
      </c>
      <c r="G72" s="5"/>
      <c r="H72" s="5">
        <v>78000</v>
      </c>
      <c r="I72" s="5" t="s">
        <v>178</v>
      </c>
      <c r="J72" s="5" t="s">
        <v>15</v>
      </c>
    </row>
    <row r="73" spans="1:10" x14ac:dyDescent="0.45">
      <c r="A73" s="5" t="s">
        <v>102</v>
      </c>
      <c r="B73" s="5" t="s">
        <v>28</v>
      </c>
      <c r="C73" s="5" t="s">
        <v>43</v>
      </c>
      <c r="D73" s="5">
        <v>9123456780</v>
      </c>
      <c r="E73" s="5" t="s">
        <v>166</v>
      </c>
      <c r="F73" s="5" t="s">
        <v>14</v>
      </c>
      <c r="G73" s="12">
        <v>46058</v>
      </c>
      <c r="H73" s="13">
        <v>45000</v>
      </c>
      <c r="I73" s="5" t="s">
        <v>178</v>
      </c>
      <c r="J73" s="5" t="s">
        <v>180</v>
      </c>
    </row>
    <row r="74" spans="1:10" x14ac:dyDescent="0.45">
      <c r="A74" s="5" t="s">
        <v>103</v>
      </c>
      <c r="B74" s="5" t="s">
        <v>36</v>
      </c>
      <c r="C74" s="5" t="s">
        <v>179</v>
      </c>
      <c r="D74" s="5" t="s">
        <v>29</v>
      </c>
      <c r="E74" s="5" t="s">
        <v>39</v>
      </c>
      <c r="F74" s="5" t="s">
        <v>171</v>
      </c>
      <c r="G74" s="12">
        <v>46054</v>
      </c>
      <c r="H74" s="5">
        <v>25000</v>
      </c>
      <c r="I74" s="5" t="s">
        <v>34</v>
      </c>
      <c r="J74" s="8" t="s">
        <v>177</v>
      </c>
    </row>
    <row r="75" spans="1:10" x14ac:dyDescent="0.45">
      <c r="A75" s="5"/>
      <c r="B75" s="5" t="s">
        <v>36</v>
      </c>
      <c r="C75" s="8" t="s">
        <v>38</v>
      </c>
      <c r="D75" s="5"/>
      <c r="E75" s="5" t="s">
        <v>39</v>
      </c>
      <c r="F75" s="5" t="s">
        <v>170</v>
      </c>
      <c r="G75" s="8" t="s">
        <v>33</v>
      </c>
      <c r="H75" s="5"/>
      <c r="I75" s="5" t="s">
        <v>23</v>
      </c>
      <c r="J75" s="5" t="s">
        <v>180</v>
      </c>
    </row>
    <row r="76" spans="1:10" x14ac:dyDescent="0.45">
      <c r="A76" s="5" t="s">
        <v>104</v>
      </c>
      <c r="B76" s="5" t="s">
        <v>28</v>
      </c>
      <c r="C76" s="5" t="s">
        <v>43</v>
      </c>
      <c r="D76" s="5">
        <v>9123456780</v>
      </c>
      <c r="E76" s="5" t="s">
        <v>30</v>
      </c>
      <c r="F76" s="5" t="s">
        <v>25</v>
      </c>
      <c r="G76" s="5"/>
      <c r="H76" s="5" t="s">
        <v>44</v>
      </c>
      <c r="I76" s="5" t="s">
        <v>18</v>
      </c>
      <c r="J76" s="8" t="s">
        <v>177</v>
      </c>
    </row>
    <row r="77" spans="1:10" x14ac:dyDescent="0.45">
      <c r="A77" s="5" t="s">
        <v>105</v>
      </c>
      <c r="B77" s="5" t="s">
        <v>36</v>
      </c>
      <c r="C77" s="8" t="s">
        <v>43</v>
      </c>
      <c r="D77" s="5"/>
      <c r="E77" s="5" t="s">
        <v>167</v>
      </c>
      <c r="F77" s="5" t="s">
        <v>172</v>
      </c>
      <c r="G77" s="5"/>
      <c r="H77" s="5">
        <v>78000</v>
      </c>
      <c r="I77" s="5" t="s">
        <v>46</v>
      </c>
      <c r="J77" s="5" t="s">
        <v>180</v>
      </c>
    </row>
    <row r="78" spans="1:10" x14ac:dyDescent="0.45">
      <c r="A78" s="5" t="s">
        <v>106</v>
      </c>
      <c r="B78" s="5" t="s">
        <v>159</v>
      </c>
      <c r="C78" s="5" t="s">
        <v>12</v>
      </c>
      <c r="D78" s="5">
        <v>9123456780</v>
      </c>
      <c r="E78" s="5" t="s">
        <v>166</v>
      </c>
      <c r="F78" s="8" t="s">
        <v>14</v>
      </c>
      <c r="G78" s="5"/>
      <c r="H78" s="5"/>
      <c r="I78" s="5" t="s">
        <v>46</v>
      </c>
      <c r="J78" s="5" t="s">
        <v>15</v>
      </c>
    </row>
    <row r="79" spans="1:10" x14ac:dyDescent="0.45">
      <c r="A79" s="5" t="s">
        <v>107</v>
      </c>
      <c r="B79" s="5" t="s">
        <v>47</v>
      </c>
      <c r="C79" s="5" t="s">
        <v>179</v>
      </c>
      <c r="D79" s="5">
        <v>9123456780</v>
      </c>
      <c r="E79" s="5" t="s">
        <v>13</v>
      </c>
      <c r="F79" s="5" t="s">
        <v>171</v>
      </c>
      <c r="G79" s="10">
        <v>46058</v>
      </c>
      <c r="H79" s="5"/>
      <c r="I79" s="5" t="s">
        <v>41</v>
      </c>
      <c r="J79" s="8" t="s">
        <v>177</v>
      </c>
    </row>
    <row r="80" spans="1:10" x14ac:dyDescent="0.45">
      <c r="A80" s="5" t="s">
        <v>108</v>
      </c>
      <c r="B80" s="5" t="s">
        <v>47</v>
      </c>
      <c r="C80" s="5" t="s">
        <v>12</v>
      </c>
      <c r="D80" s="5">
        <v>9876543210</v>
      </c>
      <c r="E80" s="5" t="s">
        <v>182</v>
      </c>
      <c r="F80" s="5" t="s">
        <v>172</v>
      </c>
      <c r="G80" s="5" t="s">
        <v>33</v>
      </c>
      <c r="H80" s="5" t="s">
        <v>44</v>
      </c>
      <c r="I80" s="5" t="s">
        <v>46</v>
      </c>
      <c r="J80" s="5" t="s">
        <v>180</v>
      </c>
    </row>
    <row r="81" spans="1:10" x14ac:dyDescent="0.45">
      <c r="A81" s="5" t="s">
        <v>109</v>
      </c>
      <c r="B81" s="5" t="s">
        <v>36</v>
      </c>
      <c r="C81" s="5" t="s">
        <v>43</v>
      </c>
      <c r="D81" s="5" t="s">
        <v>29</v>
      </c>
      <c r="E81" s="5" t="s">
        <v>167</v>
      </c>
      <c r="F81" s="5" t="s">
        <v>25</v>
      </c>
      <c r="G81" s="12">
        <v>46054</v>
      </c>
      <c r="H81" s="5">
        <v>25000</v>
      </c>
      <c r="I81" s="5" t="s">
        <v>34</v>
      </c>
      <c r="J81" s="5" t="s">
        <v>181</v>
      </c>
    </row>
    <row r="82" spans="1:10" x14ac:dyDescent="0.45">
      <c r="A82" s="5" t="s">
        <v>110</v>
      </c>
      <c r="B82" s="5" t="s">
        <v>47</v>
      </c>
      <c r="C82" s="5" t="s">
        <v>20</v>
      </c>
      <c r="D82" s="5">
        <v>9876543210</v>
      </c>
      <c r="E82" s="5" t="s">
        <v>182</v>
      </c>
      <c r="F82" s="5" t="s">
        <v>171</v>
      </c>
      <c r="G82" s="12">
        <v>46054</v>
      </c>
      <c r="H82" s="13">
        <v>45000</v>
      </c>
      <c r="I82" s="8" t="s">
        <v>34</v>
      </c>
      <c r="J82" s="5"/>
    </row>
    <row r="83" spans="1:10" x14ac:dyDescent="0.45">
      <c r="A83" s="5" t="s">
        <v>111</v>
      </c>
      <c r="B83" s="5" t="s">
        <v>47</v>
      </c>
      <c r="C83" s="5" t="s">
        <v>12</v>
      </c>
      <c r="D83" s="5">
        <v>9876543210</v>
      </c>
      <c r="E83" s="5" t="s">
        <v>182</v>
      </c>
      <c r="F83" s="5" t="s">
        <v>22</v>
      </c>
      <c r="G83" s="10">
        <v>46058</v>
      </c>
      <c r="H83" s="5"/>
      <c r="I83" s="5" t="s">
        <v>18</v>
      </c>
      <c r="J83" s="5" t="s">
        <v>181</v>
      </c>
    </row>
    <row r="84" spans="1:10" x14ac:dyDescent="0.45">
      <c r="A84" s="5" t="s">
        <v>112</v>
      </c>
      <c r="B84" s="5" t="s">
        <v>47</v>
      </c>
      <c r="C84" s="5" t="s">
        <v>43</v>
      </c>
      <c r="D84" s="5">
        <v>9123456780</v>
      </c>
      <c r="E84" s="5" t="s">
        <v>166</v>
      </c>
      <c r="F84" s="8" t="s">
        <v>171</v>
      </c>
      <c r="G84" s="5"/>
      <c r="H84" s="5">
        <v>78000</v>
      </c>
      <c r="I84" s="5" t="s">
        <v>23</v>
      </c>
      <c r="J84" s="8" t="s">
        <v>26</v>
      </c>
    </row>
    <row r="85" spans="1:10" x14ac:dyDescent="0.45">
      <c r="A85" s="5" t="s">
        <v>113</v>
      </c>
      <c r="B85" s="5" t="s">
        <v>28</v>
      </c>
      <c r="C85" s="8" t="s">
        <v>12</v>
      </c>
      <c r="D85" s="5"/>
      <c r="E85" s="5" t="s">
        <v>166</v>
      </c>
      <c r="F85" s="5" t="s">
        <v>14</v>
      </c>
      <c r="G85" s="10">
        <v>46054</v>
      </c>
      <c r="H85" s="5"/>
      <c r="I85" s="5" t="s">
        <v>46</v>
      </c>
      <c r="J85" s="5" t="s">
        <v>181</v>
      </c>
    </row>
    <row r="86" spans="1:10" x14ac:dyDescent="0.45">
      <c r="A86" s="5" t="s">
        <v>114</v>
      </c>
      <c r="B86" s="5" t="s">
        <v>47</v>
      </c>
      <c r="C86" s="5" t="s">
        <v>179</v>
      </c>
      <c r="D86" s="5">
        <v>9876543210</v>
      </c>
      <c r="E86" s="5" t="s">
        <v>30</v>
      </c>
      <c r="F86" s="5" t="s">
        <v>170</v>
      </c>
      <c r="G86" s="12">
        <v>46096</v>
      </c>
      <c r="H86" s="5">
        <v>25000</v>
      </c>
      <c r="I86" s="5" t="s">
        <v>41</v>
      </c>
      <c r="J86" s="5" t="s">
        <v>181</v>
      </c>
    </row>
    <row r="87" spans="1:10" x14ac:dyDescent="0.45">
      <c r="A87" s="5" t="s">
        <v>115</v>
      </c>
      <c r="B87" s="5" t="s">
        <v>28</v>
      </c>
      <c r="C87" s="5" t="s">
        <v>179</v>
      </c>
      <c r="D87" s="5" t="s">
        <v>29</v>
      </c>
      <c r="E87" s="5" t="s">
        <v>167</v>
      </c>
      <c r="F87" s="5" t="s">
        <v>172</v>
      </c>
      <c r="G87" s="5" t="s">
        <v>33</v>
      </c>
      <c r="H87" s="13">
        <v>45000</v>
      </c>
      <c r="I87" s="5" t="s">
        <v>41</v>
      </c>
      <c r="J87" s="5" t="s">
        <v>181</v>
      </c>
    </row>
    <row r="88" spans="1:10" x14ac:dyDescent="0.45">
      <c r="A88" s="5" t="s">
        <v>116</v>
      </c>
      <c r="B88" s="5" t="s">
        <v>28</v>
      </c>
      <c r="C88" s="5" t="s">
        <v>43</v>
      </c>
      <c r="D88" s="5" t="s">
        <v>17</v>
      </c>
      <c r="E88" s="5" t="s">
        <v>182</v>
      </c>
      <c r="F88" s="5" t="s">
        <v>25</v>
      </c>
      <c r="G88" s="5"/>
      <c r="H88" s="5"/>
      <c r="I88" s="5" t="s">
        <v>178</v>
      </c>
      <c r="J88" s="5" t="s">
        <v>181</v>
      </c>
    </row>
    <row r="89" spans="1:10" x14ac:dyDescent="0.45">
      <c r="A89" s="5" t="s">
        <v>117</v>
      </c>
      <c r="B89" s="5" t="s">
        <v>47</v>
      </c>
      <c r="C89" s="5" t="s">
        <v>43</v>
      </c>
      <c r="D89" s="5" t="s">
        <v>17</v>
      </c>
      <c r="E89" s="5" t="s">
        <v>167</v>
      </c>
      <c r="F89" s="5" t="s">
        <v>171</v>
      </c>
      <c r="G89" s="12">
        <v>46058</v>
      </c>
      <c r="H89" s="5" t="s">
        <v>44</v>
      </c>
      <c r="I89" s="5" t="s">
        <v>23</v>
      </c>
      <c r="J89" s="8" t="s">
        <v>26</v>
      </c>
    </row>
    <row r="90" spans="1:10" x14ac:dyDescent="0.45">
      <c r="A90" s="5"/>
      <c r="B90" s="5" t="s">
        <v>11</v>
      </c>
      <c r="C90" s="5" t="s">
        <v>38</v>
      </c>
      <c r="D90" s="5" t="s">
        <v>17</v>
      </c>
      <c r="E90" s="5" t="s">
        <v>182</v>
      </c>
      <c r="F90" s="5" t="s">
        <v>25</v>
      </c>
      <c r="G90" s="5"/>
      <c r="H90" s="5">
        <v>78000</v>
      </c>
      <c r="I90" s="5" t="s">
        <v>178</v>
      </c>
      <c r="J90" s="8" t="s">
        <v>177</v>
      </c>
    </row>
    <row r="91" spans="1:10" x14ac:dyDescent="0.45">
      <c r="A91" s="5" t="s">
        <v>118</v>
      </c>
      <c r="B91" s="5" t="s">
        <v>159</v>
      </c>
      <c r="C91" s="5" t="s">
        <v>43</v>
      </c>
      <c r="D91" s="5">
        <v>9876543210</v>
      </c>
      <c r="E91" s="5" t="s">
        <v>39</v>
      </c>
      <c r="F91" s="5" t="s">
        <v>22</v>
      </c>
      <c r="G91" s="12">
        <v>46058</v>
      </c>
      <c r="H91" s="13">
        <v>45000</v>
      </c>
      <c r="I91" s="5" t="s">
        <v>18</v>
      </c>
      <c r="J91" s="5"/>
    </row>
    <row r="92" spans="1:10" x14ac:dyDescent="0.45">
      <c r="A92" s="5" t="s">
        <v>119</v>
      </c>
      <c r="B92" s="5" t="s">
        <v>47</v>
      </c>
      <c r="C92" s="5" t="s">
        <v>20</v>
      </c>
      <c r="D92" s="5" t="s">
        <v>29</v>
      </c>
      <c r="E92" s="5" t="s">
        <v>13</v>
      </c>
      <c r="F92" s="5" t="s">
        <v>170</v>
      </c>
      <c r="G92" s="12">
        <v>46054</v>
      </c>
      <c r="H92" s="5">
        <v>25000</v>
      </c>
      <c r="I92" s="8" t="s">
        <v>34</v>
      </c>
      <c r="J92" s="5"/>
    </row>
    <row r="93" spans="1:10" x14ac:dyDescent="0.45">
      <c r="A93" s="5" t="s">
        <v>120</v>
      </c>
      <c r="B93" s="5" t="s">
        <v>36</v>
      </c>
      <c r="C93" s="5" t="s">
        <v>20</v>
      </c>
      <c r="D93" s="5" t="s">
        <v>29</v>
      </c>
      <c r="E93" s="5" t="s">
        <v>13</v>
      </c>
      <c r="F93" s="5" t="s">
        <v>22</v>
      </c>
      <c r="G93" s="12">
        <v>46054</v>
      </c>
      <c r="H93" s="5">
        <v>78000</v>
      </c>
      <c r="I93" s="5" t="s">
        <v>23</v>
      </c>
      <c r="J93" s="8" t="s">
        <v>177</v>
      </c>
    </row>
    <row r="94" spans="1:10" x14ac:dyDescent="0.45">
      <c r="A94" s="5" t="s">
        <v>121</v>
      </c>
      <c r="B94" s="5" t="s">
        <v>28</v>
      </c>
      <c r="C94" s="5" t="s">
        <v>179</v>
      </c>
      <c r="D94" s="5" t="s">
        <v>17</v>
      </c>
      <c r="E94" s="5" t="s">
        <v>166</v>
      </c>
      <c r="F94" s="5" t="s">
        <v>172</v>
      </c>
      <c r="G94" s="5"/>
      <c r="H94" s="5">
        <v>25000</v>
      </c>
      <c r="I94" s="5" t="s">
        <v>41</v>
      </c>
      <c r="J94" s="8" t="s">
        <v>177</v>
      </c>
    </row>
    <row r="95" spans="1:10" x14ac:dyDescent="0.45">
      <c r="A95" s="5" t="s">
        <v>122</v>
      </c>
      <c r="B95" s="5" t="s">
        <v>36</v>
      </c>
      <c r="C95" s="5" t="s">
        <v>43</v>
      </c>
      <c r="D95" s="5" t="s">
        <v>17</v>
      </c>
      <c r="E95" s="5" t="s">
        <v>166</v>
      </c>
      <c r="F95" s="5" t="s">
        <v>22</v>
      </c>
      <c r="G95" s="12">
        <v>46058</v>
      </c>
      <c r="H95" s="5" t="s">
        <v>44</v>
      </c>
      <c r="I95" s="5" t="s">
        <v>178</v>
      </c>
      <c r="J95" s="8" t="s">
        <v>26</v>
      </c>
    </row>
    <row r="96" spans="1:10" x14ac:dyDescent="0.45">
      <c r="A96" s="5" t="s">
        <v>123</v>
      </c>
      <c r="B96" s="5" t="s">
        <v>159</v>
      </c>
      <c r="C96" s="5" t="s">
        <v>20</v>
      </c>
      <c r="D96" s="5" t="s">
        <v>17</v>
      </c>
      <c r="E96" s="5" t="s">
        <v>30</v>
      </c>
      <c r="F96" s="5" t="s">
        <v>25</v>
      </c>
      <c r="G96" s="10">
        <v>46054</v>
      </c>
      <c r="H96" s="5"/>
      <c r="I96" s="5" t="s">
        <v>178</v>
      </c>
      <c r="J96" s="5" t="s">
        <v>15</v>
      </c>
    </row>
    <row r="97" spans="1:10" x14ac:dyDescent="0.45">
      <c r="A97" s="5" t="s">
        <v>124</v>
      </c>
      <c r="B97" s="5" t="s">
        <v>11</v>
      </c>
      <c r="C97" s="5" t="s">
        <v>20</v>
      </c>
      <c r="D97" s="5">
        <v>9876543210</v>
      </c>
      <c r="E97" s="5" t="s">
        <v>30</v>
      </c>
      <c r="F97" s="5" t="s">
        <v>171</v>
      </c>
      <c r="G97" s="12">
        <v>46096</v>
      </c>
      <c r="H97" s="5">
        <v>25000</v>
      </c>
      <c r="I97" s="5" t="s">
        <v>178</v>
      </c>
      <c r="J97" s="5" t="s">
        <v>15</v>
      </c>
    </row>
    <row r="98" spans="1:10" x14ac:dyDescent="0.45">
      <c r="A98" s="5" t="s">
        <v>125</v>
      </c>
      <c r="B98" s="5" t="s">
        <v>159</v>
      </c>
      <c r="C98" s="5" t="s">
        <v>179</v>
      </c>
      <c r="D98" s="5">
        <v>9123456780</v>
      </c>
      <c r="E98" s="5" t="s">
        <v>30</v>
      </c>
      <c r="F98" s="5" t="s">
        <v>172</v>
      </c>
      <c r="G98" s="12">
        <v>46096</v>
      </c>
      <c r="H98" s="5">
        <v>125000</v>
      </c>
      <c r="I98" s="5" t="s">
        <v>34</v>
      </c>
      <c r="J98" s="5" t="s">
        <v>180</v>
      </c>
    </row>
    <row r="99" spans="1:10" x14ac:dyDescent="0.45">
      <c r="A99" s="5" t="s">
        <v>126</v>
      </c>
      <c r="B99" s="5" t="s">
        <v>36</v>
      </c>
      <c r="C99" s="8" t="s">
        <v>20</v>
      </c>
      <c r="D99" s="5"/>
      <c r="E99" s="5" t="s">
        <v>167</v>
      </c>
      <c r="F99" s="5" t="s">
        <v>171</v>
      </c>
      <c r="G99" s="12">
        <v>46054</v>
      </c>
      <c r="H99" s="5">
        <v>25000</v>
      </c>
      <c r="I99" s="5" t="s">
        <v>46</v>
      </c>
      <c r="J99" s="5" t="s">
        <v>15</v>
      </c>
    </row>
    <row r="100" spans="1:10" x14ac:dyDescent="0.45">
      <c r="A100" s="5" t="s">
        <v>127</v>
      </c>
      <c r="B100" s="5" t="s">
        <v>159</v>
      </c>
      <c r="C100" s="5" t="s">
        <v>12</v>
      </c>
      <c r="D100" s="5">
        <v>9876543210</v>
      </c>
      <c r="E100" s="5" t="s">
        <v>167</v>
      </c>
      <c r="F100" s="5" t="s">
        <v>25</v>
      </c>
      <c r="G100" s="5"/>
      <c r="H100" s="5">
        <v>25000</v>
      </c>
      <c r="I100" s="5" t="s">
        <v>46</v>
      </c>
      <c r="J100" s="8" t="s">
        <v>177</v>
      </c>
    </row>
    <row r="101" spans="1:10" x14ac:dyDescent="0.45">
      <c r="A101" s="5" t="s">
        <v>128</v>
      </c>
      <c r="B101" s="5" t="s">
        <v>159</v>
      </c>
      <c r="C101" s="5" t="s">
        <v>43</v>
      </c>
      <c r="D101" s="5" t="s">
        <v>17</v>
      </c>
      <c r="E101" s="5" t="s">
        <v>166</v>
      </c>
      <c r="F101" s="5" t="s">
        <v>14</v>
      </c>
      <c r="G101" s="10">
        <v>46058</v>
      </c>
      <c r="H101" s="5"/>
      <c r="I101" s="5" t="s">
        <v>34</v>
      </c>
      <c r="J101" s="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B394-1A80-4205-A3E7-76E92AA6E0B4}">
  <dimension ref="A2:J60"/>
  <sheetViews>
    <sheetView tabSelected="1" topLeftCell="A47" zoomScale="205" zoomScaleNormal="205" workbookViewId="0">
      <selection activeCell="A60" sqref="A60"/>
    </sheetView>
  </sheetViews>
  <sheetFormatPr defaultRowHeight="14.25" x14ac:dyDescent="0.45"/>
  <sheetData>
    <row r="2" spans="2:10" x14ac:dyDescent="0.45">
      <c r="C2" s="2" t="s">
        <v>129</v>
      </c>
    </row>
    <row r="3" spans="2:10" x14ac:dyDescent="0.45">
      <c r="B3" t="s">
        <v>130</v>
      </c>
    </row>
    <row r="4" spans="2:10" x14ac:dyDescent="0.45">
      <c r="B4" s="2" t="s">
        <v>131</v>
      </c>
    </row>
    <row r="5" spans="2:10" x14ac:dyDescent="0.45">
      <c r="B5" t="s">
        <v>132</v>
      </c>
    </row>
    <row r="7" spans="2:10" x14ac:dyDescent="0.45">
      <c r="B7" s="2" t="s">
        <v>133</v>
      </c>
      <c r="E7" t="s">
        <v>134</v>
      </c>
    </row>
    <row r="8" spans="2:10" x14ac:dyDescent="0.45">
      <c r="B8" t="s">
        <v>135</v>
      </c>
    </row>
    <row r="9" spans="2:10" x14ac:dyDescent="0.45">
      <c r="B9" t="s">
        <v>136</v>
      </c>
      <c r="J9" t="s">
        <v>137</v>
      </c>
    </row>
    <row r="10" spans="2:10" x14ac:dyDescent="0.45">
      <c r="B10" t="s">
        <v>138</v>
      </c>
    </row>
    <row r="12" spans="2:10" x14ac:dyDescent="0.45">
      <c r="B12" s="2" t="s">
        <v>139</v>
      </c>
    </row>
    <row r="13" spans="2:10" x14ac:dyDescent="0.45">
      <c r="B13" t="s">
        <v>140</v>
      </c>
    </row>
    <row r="14" spans="2:10" x14ac:dyDescent="0.45">
      <c r="B14" t="s">
        <v>141</v>
      </c>
    </row>
    <row r="15" spans="2:10" x14ac:dyDescent="0.45">
      <c r="B15" t="s">
        <v>142</v>
      </c>
    </row>
    <row r="16" spans="2:10" x14ac:dyDescent="0.45">
      <c r="B16" t="s">
        <v>143</v>
      </c>
    </row>
    <row r="17" spans="2:2" x14ac:dyDescent="0.45">
      <c r="B17" t="s">
        <v>144</v>
      </c>
    </row>
    <row r="18" spans="2:2" x14ac:dyDescent="0.45">
      <c r="B18" t="s">
        <v>145</v>
      </c>
    </row>
    <row r="19" spans="2:2" x14ac:dyDescent="0.45">
      <c r="B19" t="s">
        <v>146</v>
      </c>
    </row>
    <row r="20" spans="2:2" x14ac:dyDescent="0.45">
      <c r="B20" t="s">
        <v>147</v>
      </c>
    </row>
    <row r="21" spans="2:2" x14ac:dyDescent="0.45">
      <c r="B21" t="s">
        <v>148</v>
      </c>
    </row>
    <row r="24" spans="2:2" x14ac:dyDescent="0.45">
      <c r="B24" s="2" t="s">
        <v>149</v>
      </c>
    </row>
    <row r="26" spans="2:2" x14ac:dyDescent="0.45">
      <c r="B26" s="2" t="s">
        <v>150</v>
      </c>
    </row>
    <row r="27" spans="2:2" x14ac:dyDescent="0.45">
      <c r="B27" t="s">
        <v>151</v>
      </c>
    </row>
    <row r="28" spans="2:2" x14ac:dyDescent="0.45">
      <c r="B28" s="2" t="s">
        <v>152</v>
      </c>
    </row>
    <row r="30" spans="2:2" x14ac:dyDescent="0.45">
      <c r="B30" s="2" t="s">
        <v>153</v>
      </c>
    </row>
    <row r="31" spans="2:2" x14ac:dyDescent="0.45">
      <c r="B31" t="s">
        <v>154</v>
      </c>
    </row>
    <row r="32" spans="2:2" x14ac:dyDescent="0.45">
      <c r="B32" s="2" t="s">
        <v>155</v>
      </c>
    </row>
    <row r="33" spans="1:2" x14ac:dyDescent="0.45">
      <c r="B33" s="2" t="s">
        <v>156</v>
      </c>
    </row>
    <row r="34" spans="1:2" x14ac:dyDescent="0.45">
      <c r="B34" s="2" t="s">
        <v>157</v>
      </c>
    </row>
    <row r="37" spans="1:2" x14ac:dyDescent="0.45">
      <c r="A37" s="2" t="s">
        <v>187</v>
      </c>
      <c r="B37" s="2" t="s">
        <v>185</v>
      </c>
    </row>
    <row r="38" spans="1:2" x14ac:dyDescent="0.45">
      <c r="A38" s="2"/>
      <c r="B38" s="2" t="s">
        <v>186</v>
      </c>
    </row>
    <row r="39" spans="1:2" x14ac:dyDescent="0.45">
      <c r="B39" s="14" t="s">
        <v>188</v>
      </c>
    </row>
    <row r="40" spans="1:2" x14ac:dyDescent="0.45">
      <c r="B40" s="14" t="s">
        <v>189</v>
      </c>
    </row>
    <row r="43" spans="1:2" x14ac:dyDescent="0.45">
      <c r="B43" t="s">
        <v>190</v>
      </c>
    </row>
    <row r="45" spans="1:2" x14ac:dyDescent="0.45">
      <c r="B45" t="s">
        <v>191</v>
      </c>
    </row>
    <row r="49" spans="1:2" x14ac:dyDescent="0.45">
      <c r="B49" t="s">
        <v>196</v>
      </c>
    </row>
    <row r="50" spans="1:2" x14ac:dyDescent="0.45">
      <c r="B50" t="s">
        <v>197</v>
      </c>
    </row>
    <row r="51" spans="1:2" x14ac:dyDescent="0.45">
      <c r="B51" t="s">
        <v>198</v>
      </c>
    </row>
    <row r="52" spans="1:2" x14ac:dyDescent="0.45">
      <c r="B52" t="s">
        <v>199</v>
      </c>
    </row>
    <row r="53" spans="1:2" x14ac:dyDescent="0.45">
      <c r="B53" t="s">
        <v>200</v>
      </c>
    </row>
    <row r="54" spans="1:2" x14ac:dyDescent="0.45">
      <c r="B54" t="s">
        <v>201</v>
      </c>
    </row>
    <row r="55" spans="1:2" x14ac:dyDescent="0.45">
      <c r="B55" t="s">
        <v>202</v>
      </c>
    </row>
    <row r="56" spans="1:2" x14ac:dyDescent="0.45">
      <c r="B56" t="s">
        <v>203</v>
      </c>
    </row>
    <row r="57" spans="1:2" x14ac:dyDescent="0.45">
      <c r="B57" t="s">
        <v>204</v>
      </c>
    </row>
    <row r="58" spans="1:2" x14ac:dyDescent="0.45">
      <c r="B58" t="s">
        <v>205</v>
      </c>
    </row>
    <row r="60" spans="1:2" x14ac:dyDescent="0.45">
      <c r="A60" t="s">
        <v>207</v>
      </c>
      <c r="B60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Cleaning</vt:lpstr>
      <vt:lpstr>Backup_Data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 YADAV</cp:lastModifiedBy>
  <dcterms:created xsi:type="dcterms:W3CDTF">2026-07-19T15:33:15Z</dcterms:created>
  <dcterms:modified xsi:type="dcterms:W3CDTF">2026-07-21T17:09:36Z</dcterms:modified>
</cp:coreProperties>
</file>